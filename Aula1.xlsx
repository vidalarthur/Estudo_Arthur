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hu\Desktop\Curso_DIO\"/>
    </mc:Choice>
  </mc:AlternateContent>
  <xr:revisionPtr revIDLastSave="0" documentId="13_ncr:1_{2905F11C-2DBD-440A-BF30-E2EDF9D23A6E}" xr6:coauthVersionLast="47" xr6:coauthVersionMax="47" xr10:uidLastSave="{00000000-0000-0000-0000-000000000000}"/>
  <bookViews>
    <workbookView xWindow="0" yWindow="0" windowWidth="19200" windowHeight="21150" xr2:uid="{1BC20AB1-A59D-4115-8C92-113F5C084A28}"/>
  </bookViews>
  <sheets>
    <sheet name="Aplicativo" sheetId="1" r:id="rId1"/>
    <sheet name="Planilha2" sheetId="2" r:id="rId2"/>
  </sheets>
  <definedNames>
    <definedName name="Aportes_mensais" localSheetId="0">Aplicativo!$D$18</definedName>
    <definedName name="Patrimonio" localSheetId="0">Aplicativo!$D$21</definedName>
    <definedName name="Qtd_anos" localSheetId="0">Aplicativo!$D$19</definedName>
    <definedName name="Rendimento_Carteira" localSheetId="0">Aplicativo!$D$14</definedName>
    <definedName name="Salario" localSheetId="0">Aplicativo!$D$13</definedName>
    <definedName name="Sugestao_Investimento" localSheetId="0">Aplicativo!$D$15</definedName>
    <definedName name="Taxa_mensal" localSheetId="0">Aplicativo!$D$20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9" i="1" l="1"/>
  <c r="D39" i="1" s="1"/>
  <c r="C40" i="1"/>
  <c r="D40" i="1" s="1"/>
  <c r="C41" i="1"/>
  <c r="D41" i="1" s="1"/>
  <c r="C42" i="1"/>
  <c r="D42" i="1" s="1"/>
  <c r="C43" i="1"/>
  <c r="D43" i="1" s="1"/>
  <c r="C38" i="1"/>
  <c r="D38" i="1" s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4" i="2"/>
  <c r="C35" i="1" l="1"/>
  <c r="D26" i="1"/>
  <c r="D27" i="1"/>
  <c r="D28" i="1"/>
  <c r="D29" i="1"/>
  <c r="D25" i="1"/>
  <c r="C26" i="1"/>
  <c r="C27" i="1"/>
  <c r="C28" i="1"/>
  <c r="C29" i="1"/>
  <c r="C25" i="1"/>
  <c r="D22" i="1"/>
  <c r="D21" i="1"/>
  <c r="D15" i="1"/>
  <c r="D44" i="1" l="1"/>
</calcChain>
</file>

<file path=xl/sharedStrings.xml><?xml version="1.0" encoding="utf-8"?>
<sst xmlns="http://schemas.openxmlformats.org/spreadsheetml/2006/main" count="69" uniqueCount="40">
  <si>
    <t>CONFIGURAÇÕES</t>
  </si>
  <si>
    <t>ANÁLISE DE INVESTIMENTO MENSAL</t>
  </si>
  <si>
    <t>CENÁRIOS</t>
  </si>
  <si>
    <t>Dividendos</t>
  </si>
  <si>
    <t>Salário</t>
  </si>
  <si>
    <t>Rendimento da carteira</t>
  </si>
  <si>
    <t>Sugestão de Investimento (30%)</t>
  </si>
  <si>
    <t>Quanto investir por mês?</t>
  </si>
  <si>
    <t>Por quantos anos?</t>
  </si>
  <si>
    <t>Taxa de rendimento mensal?</t>
  </si>
  <si>
    <t>Patriônio acumulado?</t>
  </si>
  <si>
    <t>Dividendos mensais?</t>
  </si>
  <si>
    <t>2 Anos</t>
  </si>
  <si>
    <t>5 Anos</t>
  </si>
  <si>
    <t>10 Anos</t>
  </si>
  <si>
    <t>20 Anos</t>
  </si>
  <si>
    <t>30 Anos</t>
  </si>
  <si>
    <t>Agressivo</t>
  </si>
  <si>
    <t>Valor a ser investido por mês</t>
  </si>
  <si>
    <t>Tipos de FII</t>
  </si>
  <si>
    <t>%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</si>
  <si>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</si>
  <si>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</si>
  <si>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</si>
  <si>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</si>
  <si>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</si>
  <si>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</si>
  <si>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</si>
  <si>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Chave</t>
  </si>
  <si>
    <t>Perfil</t>
  </si>
  <si>
    <t>Tipo de FII</t>
  </si>
  <si>
    <t>%</t>
  </si>
  <si>
    <t>Conservador</t>
  </si>
  <si>
    <t>Moderado</t>
  </si>
  <si>
    <t>PAPEL</t>
  </si>
  <si>
    <t>TIJOLO</t>
  </si>
  <si>
    <t>HÍBRIDOS</t>
  </si>
  <si>
    <t>DESENVOLVIMENTO</t>
  </si>
  <si>
    <t>HOTELARIAS</t>
  </si>
  <si>
    <t>PERFIL: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</si>
</sst>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2" tint="-0.74999237037263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  <font>
      <sz val="14"/>
      <color theme="7" tint="0.79998168889431442"/>
      <name val="Calibri"/>
      <family val="2"/>
      <scheme val="minor"/>
    </font>
    <font>
      <b/>
      <sz val="14"/>
      <color theme="7" tint="-0.49998474074526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2060"/>
        <bgColor indexed="64"/>
      </patternFill>
    </fill>
  </fills>
  <borders count="39">
    <border>
      <left/>
      <right/>
      <top/>
      <bottom/>
      <diagonal/>
    </border>
    <border>
      <left style="medium">
        <color theme="2" tint="-9.9948118533890809E-2"/>
      </left>
      <right style="medium">
        <color theme="2" tint="-9.9948118533890809E-2"/>
      </right>
      <top style="medium">
        <color theme="2" tint="-9.9948118533890809E-2"/>
      </top>
      <bottom/>
      <diagonal/>
    </border>
    <border>
      <left style="medium">
        <color indexed="64"/>
      </left>
      <right style="medium">
        <color theme="2" tint="-9.9948118533890809E-2"/>
      </right>
      <top style="medium">
        <color theme="2" tint="-9.9948118533890809E-2"/>
      </top>
      <bottom/>
      <diagonal/>
    </border>
    <border>
      <left style="medium">
        <color theme="2" tint="-9.9948118533890809E-2"/>
      </left>
      <right style="medium">
        <color indexed="64"/>
      </right>
      <top style="medium">
        <color theme="2" tint="-9.9948118533890809E-2"/>
      </top>
      <bottom/>
      <diagonal/>
    </border>
    <border>
      <left style="medium">
        <color indexed="64"/>
      </left>
      <right style="medium">
        <color theme="0"/>
      </right>
      <top/>
      <bottom/>
      <diagonal/>
    </border>
    <border>
      <left style="medium">
        <color indexed="64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indexed="64"/>
      </right>
      <top/>
      <bottom style="medium">
        <color theme="0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medium">
        <color theme="2" tint="-9.9948118533890809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indexed="64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indexed="64"/>
      </left>
      <right style="medium">
        <color theme="0" tint="-4.9989318521683403E-2"/>
      </right>
      <top style="medium">
        <color theme="0" tint="-4.9989318521683403E-2"/>
      </top>
      <bottom style="medium">
        <color theme="2" tint="-9.9948118533890809E-2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theme="2" tint="-9.9948118533890809E-2"/>
      </bottom>
      <diagonal/>
    </border>
    <border>
      <left style="medium">
        <color theme="0" tint="-4.9989318521683403E-2"/>
      </left>
      <right style="medium">
        <color indexed="64"/>
      </right>
      <top style="medium">
        <color theme="0" tint="-4.9989318521683403E-2"/>
      </top>
      <bottom style="medium">
        <color theme="2" tint="-9.9948118533890809E-2"/>
      </bottom>
      <diagonal/>
    </border>
    <border>
      <left style="medium">
        <color theme="2" tint="-9.9948118533890809E-2"/>
      </left>
      <right/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indexed="64"/>
      </right>
      <top/>
      <bottom style="medium">
        <color theme="0" tint="-4.9989318521683403E-2"/>
      </bottom>
      <diagonal/>
    </border>
    <border>
      <left/>
      <right style="medium">
        <color indexed="64"/>
      </right>
      <top style="medium">
        <color theme="2" tint="-9.9948118533890809E-2"/>
      </top>
      <bottom style="medium">
        <color theme="2" tint="-9.9948118533890809E-2"/>
      </bottom>
      <diagonal/>
    </border>
    <border>
      <left style="medium">
        <color indexed="64"/>
      </left>
      <right style="medium">
        <color theme="2" tint="-9.9948118533890809E-2"/>
      </right>
      <top style="medium">
        <color indexed="64"/>
      </top>
      <bottom/>
      <diagonal/>
    </border>
    <border>
      <left style="medium">
        <color theme="2" tint="-9.9948118533890809E-2"/>
      </left>
      <right style="medium">
        <color theme="2" tint="-9.9948118533890809E-2"/>
      </right>
      <top style="medium">
        <color indexed="64"/>
      </top>
      <bottom/>
      <diagonal/>
    </border>
    <border>
      <left style="medium">
        <color theme="2" tint="-9.9948118533890809E-2"/>
      </left>
      <right/>
      <top/>
      <bottom style="medium">
        <color theme="0" tint="-4.9989318521683403E-2"/>
      </bottom>
      <diagonal/>
    </border>
    <border>
      <left style="medium">
        <color theme="2" tint="-9.9948118533890809E-2"/>
      </left>
      <right/>
      <top style="medium">
        <color theme="0" tint="-4.9989318521683403E-2"/>
      </top>
      <bottom/>
      <diagonal/>
    </border>
    <border>
      <left style="medium">
        <color indexed="64"/>
      </left>
      <right style="medium">
        <color theme="2" tint="-9.9948118533890809E-2"/>
      </right>
      <top/>
      <bottom style="medium">
        <color theme="0" tint="-4.9989318521683403E-2"/>
      </bottom>
      <diagonal/>
    </border>
    <border>
      <left style="medium">
        <color indexed="64"/>
      </left>
      <right style="medium">
        <color theme="2" tint="-9.9948118533890809E-2"/>
      </right>
      <top style="medium">
        <color theme="0" tint="-4.9989318521683403E-2"/>
      </top>
      <bottom/>
      <diagonal/>
    </border>
    <border>
      <left style="medium">
        <color indexed="64"/>
      </left>
      <right/>
      <top/>
      <bottom style="medium">
        <color theme="2" tint="-9.9948118533890809E-2"/>
      </bottom>
      <diagonal/>
    </border>
    <border>
      <left/>
      <right/>
      <top/>
      <bottom style="medium">
        <color theme="2" tint="-9.9948118533890809E-2"/>
      </bottom>
      <diagonal/>
    </border>
    <border>
      <left style="medium">
        <color indexed="64"/>
      </left>
      <right/>
      <top style="medium">
        <color theme="2" tint="-9.9948118533890809E-2"/>
      </top>
      <bottom/>
      <diagonal/>
    </border>
    <border>
      <left/>
      <right/>
      <top style="medium">
        <color theme="2" tint="-9.9948118533890809E-2"/>
      </top>
      <bottom/>
      <diagonal/>
    </border>
    <border>
      <left/>
      <right style="medium">
        <color indexed="64"/>
      </right>
      <top style="medium">
        <color theme="2" tint="-9.9948118533890809E-2"/>
      </top>
      <bottom/>
      <diagonal/>
    </border>
    <border>
      <left style="medium">
        <color indexed="64"/>
      </left>
      <right/>
      <top style="medium">
        <color theme="0"/>
      </top>
      <bottom style="medium">
        <color indexed="64"/>
      </bottom>
      <diagonal/>
    </border>
    <border>
      <left/>
      <right/>
      <top style="medium">
        <color theme="0"/>
      </top>
      <bottom style="medium">
        <color indexed="64"/>
      </bottom>
      <diagonal/>
    </border>
    <border>
      <left/>
      <right style="medium">
        <color indexed="64"/>
      </right>
      <top style="medium">
        <color theme="0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theme="2" tint="-9.9948118533890809E-2"/>
      </bottom>
      <diagonal/>
    </border>
    <border>
      <left style="medium">
        <color theme="2" tint="-9.9948118533890809E-2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theme="0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8" fontId="4" fillId="6" borderId="6" xfId="0" applyNumberFormat="1" applyFont="1" applyFill="1" applyBorder="1"/>
    <xf numFmtId="8" fontId="4" fillId="6" borderId="7" xfId="0" applyNumberFormat="1" applyFont="1" applyFill="1" applyBorder="1"/>
    <xf numFmtId="2" fontId="5" fillId="6" borderId="14" xfId="0" applyNumberFormat="1" applyFont="1" applyFill="1" applyBorder="1"/>
    <xf numFmtId="8" fontId="5" fillId="6" borderId="16" xfId="0" applyNumberFormat="1" applyFont="1" applyFill="1" applyBorder="1"/>
    <xf numFmtId="10" fontId="4" fillId="0" borderId="17" xfId="0" applyNumberFormat="1" applyFont="1" applyBorder="1"/>
    <xf numFmtId="44" fontId="5" fillId="7" borderId="28" xfId="0" applyNumberFormat="1" applyFont="1" applyFill="1" applyBorder="1"/>
    <xf numFmtId="0" fontId="4" fillId="0" borderId="17" xfId="0" applyFont="1" applyBorder="1"/>
    <xf numFmtId="44" fontId="4" fillId="0" borderId="32" xfId="1" applyFont="1" applyBorder="1"/>
    <xf numFmtId="0" fontId="4" fillId="5" borderId="34" xfId="0" applyFont="1" applyFill="1" applyBorder="1" applyAlignment="1">
      <alignment horizontal="center" vertical="center"/>
    </xf>
    <xf numFmtId="10" fontId="4" fillId="0" borderId="28" xfId="0" applyNumberFormat="1" applyFont="1" applyBorder="1"/>
    <xf numFmtId="0" fontId="6" fillId="6" borderId="5" xfId="0" applyFont="1" applyFill="1" applyBorder="1"/>
    <xf numFmtId="0" fontId="6" fillId="6" borderId="8" xfId="0" applyFont="1" applyFill="1" applyBorder="1"/>
    <xf numFmtId="0" fontId="4" fillId="6" borderId="0" xfId="0" applyFont="1" applyFill="1"/>
    <xf numFmtId="0" fontId="4" fillId="0" borderId="0" xfId="0" applyFont="1"/>
    <xf numFmtId="9" fontId="4" fillId="0" borderId="0" xfId="0" applyNumberFormat="1" applyFont="1"/>
    <xf numFmtId="44" fontId="4" fillId="6" borderId="0" xfId="1" applyFont="1" applyFill="1" applyAlignment="1">
      <alignment horizontal="right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4" fillId="7" borderId="22" xfId="0" applyFont="1" applyFill="1" applyBorder="1" applyAlignment="1">
      <alignment horizontal="left"/>
    </xf>
    <xf numFmtId="0" fontId="4" fillId="7" borderId="20" xfId="0" applyFont="1" applyFill="1" applyBorder="1" applyAlignment="1">
      <alignment horizontal="left"/>
    </xf>
    <xf numFmtId="0" fontId="4" fillId="7" borderId="9" xfId="0" applyFont="1" applyFill="1" applyBorder="1" applyAlignment="1">
      <alignment horizontal="left"/>
    </xf>
    <xf numFmtId="0" fontId="4" fillId="7" borderId="15" xfId="0" applyFont="1" applyFill="1" applyBorder="1" applyAlignment="1">
      <alignment horizontal="left"/>
    </xf>
    <xf numFmtId="0" fontId="4" fillId="7" borderId="23" xfId="0" applyFont="1" applyFill="1" applyBorder="1" applyAlignment="1">
      <alignment horizontal="left"/>
    </xf>
    <xf numFmtId="0" fontId="4" fillId="7" borderId="21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center"/>
    </xf>
    <xf numFmtId="0" fontId="3" fillId="4" borderId="35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left"/>
    </xf>
    <xf numFmtId="0" fontId="4" fillId="6" borderId="11" xfId="0" applyFont="1" applyFill="1" applyBorder="1" applyAlignment="1">
      <alignment horizontal="left"/>
    </xf>
    <xf numFmtId="0" fontId="4" fillId="6" borderId="12" xfId="0" applyFont="1" applyFill="1" applyBorder="1" applyAlignment="1">
      <alignment horizontal="left"/>
    </xf>
    <xf numFmtId="0" fontId="4" fillId="6" borderId="13" xfId="0" applyFont="1" applyFill="1" applyBorder="1" applyAlignment="1">
      <alignment horizontal="left"/>
    </xf>
    <xf numFmtId="0" fontId="0" fillId="0" borderId="36" xfId="0" applyBorder="1"/>
    <xf numFmtId="9" fontId="0" fillId="0" borderId="0" xfId="2" applyNumberFormat="1" applyFont="1"/>
    <xf numFmtId="9" fontId="0" fillId="0" borderId="36" xfId="2" applyNumberFormat="1" applyFont="1" applyBorder="1"/>
    <xf numFmtId="9" fontId="0" fillId="0" borderId="0" xfId="2" applyNumberFormat="1" applyFont="1" applyFill="1" applyBorder="1"/>
    <xf numFmtId="9" fontId="0" fillId="0" borderId="0" xfId="0" applyNumberFormat="1"/>
    <xf numFmtId="0" fontId="7" fillId="8" borderId="0" xfId="0" applyFont="1" applyFill="1" applyAlignment="1">
      <alignment horizontal="center"/>
    </xf>
    <xf numFmtId="44" fontId="4" fillId="0" borderId="0" xfId="1" applyFont="1"/>
    <xf numFmtId="0" fontId="8" fillId="8" borderId="0" xfId="0" applyFont="1" applyFill="1" applyAlignment="1">
      <alignment horizontal="center"/>
    </xf>
    <xf numFmtId="0" fontId="4" fillId="8" borderId="37" xfId="0" applyFont="1" applyFill="1" applyBorder="1"/>
    <xf numFmtId="44" fontId="4" fillId="8" borderId="37" xfId="1" applyFont="1" applyFill="1" applyBorder="1"/>
    <xf numFmtId="0" fontId="4" fillId="9" borderId="38" xfId="0" applyFont="1" applyFill="1" applyBorder="1"/>
    <xf numFmtId="0" fontId="9" fillId="10" borderId="38" xfId="0" applyFont="1" applyFill="1" applyBorder="1" applyAlignment="1">
      <alignment horizontal="center"/>
    </xf>
    <xf numFmtId="0" fontId="10" fillId="9" borderId="38" xfId="0" applyFont="1" applyFill="1" applyBorder="1" applyAlignment="1">
      <alignment horizontal="right"/>
    </xf>
    <xf numFmtId="0" fontId="0" fillId="11" borderId="24" xfId="0" applyFill="1" applyBorder="1" applyAlignment="1">
      <alignment horizontal="center"/>
    </xf>
    <xf numFmtId="0" fontId="0" fillId="11" borderId="25" xfId="0" applyFill="1" applyBorder="1" applyAlignment="1">
      <alignment horizontal="center"/>
    </xf>
    <xf numFmtId="0" fontId="0" fillId="11" borderId="32" xfId="0" applyFill="1" applyBorder="1"/>
    <xf numFmtId="0" fontId="0" fillId="11" borderId="26" xfId="0" applyFill="1" applyBorder="1" applyAlignment="1">
      <alignment horizontal="center"/>
    </xf>
    <xf numFmtId="0" fontId="0" fillId="11" borderId="27" xfId="0" applyFill="1" applyBorder="1" applyAlignment="1">
      <alignment horizontal="center"/>
    </xf>
    <xf numFmtId="0" fontId="0" fillId="11" borderId="28" xfId="0" applyFill="1" applyBorder="1"/>
    <xf numFmtId="0" fontId="0" fillId="11" borderId="29" xfId="0" applyFill="1" applyBorder="1"/>
    <xf numFmtId="8" fontId="0" fillId="11" borderId="30" xfId="0" applyNumberFormat="1" applyFill="1" applyBorder="1"/>
    <xf numFmtId="0" fontId="0" fillId="11" borderId="31" xfId="0" applyFill="1" applyBorder="1"/>
    <xf numFmtId="0" fontId="4" fillId="11" borderId="0" xfId="0" applyFont="1" applyFill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0066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Aplicativo!$B$38:$B$43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Aplicativo!$C$38:$C$43</c:f>
              <c:numCache>
                <c:formatCode>0%</c:formatCode>
                <c:ptCount val="6"/>
                <c:pt idx="0">
                  <c:v>0.25</c:v>
                </c:pt>
                <c:pt idx="1">
                  <c:v>0.3</c:v>
                </c:pt>
                <c:pt idx="2">
                  <c:v>0.1</c:v>
                </c:pt>
                <c:pt idx="3">
                  <c:v>0.1</c:v>
                </c:pt>
                <c:pt idx="4">
                  <c:v>0.15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C9-436B-ADED-4E35A973096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46</xdr:row>
      <xdr:rowOff>90487</xdr:rowOff>
    </xdr:from>
    <xdr:to>
      <xdr:col>3</xdr:col>
      <xdr:colOff>1590675</xdr:colOff>
      <xdr:row>60</xdr:row>
      <xdr:rowOff>166687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BA7FD48-CB4E-69A8-70CB-670932CE04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1057275</xdr:colOff>
      <xdr:row>1</xdr:row>
      <xdr:rowOff>161925</xdr:rowOff>
    </xdr:from>
    <xdr:to>
      <xdr:col>3</xdr:col>
      <xdr:colOff>590551</xdr:colOff>
      <xdr:row>9</xdr:row>
      <xdr:rowOff>9525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2667009-EFB2-1914-3BAD-CB54887E0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71650" y="352425"/>
          <a:ext cx="4581526" cy="1371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CF0A1-B82E-44A2-9292-494430F36418}">
  <dimension ref="A11:E70"/>
  <sheetViews>
    <sheetView showGridLines="0" tabSelected="1" workbookViewId="0">
      <selection activeCell="E31" sqref="E31"/>
    </sheetView>
  </sheetViews>
  <sheetFormatPr defaultColWidth="0" defaultRowHeight="15" x14ac:dyDescent="0.25"/>
  <cols>
    <col min="1" max="1" width="10.7109375" customWidth="1"/>
    <col min="2" max="2" width="52" customWidth="1"/>
    <col min="3" max="3" width="23.7109375" customWidth="1"/>
    <col min="4" max="4" width="24.5703125" customWidth="1"/>
    <col min="5" max="5" width="9.140625" customWidth="1"/>
    <col min="6" max="16384" width="9.140625" hidden="1"/>
  </cols>
  <sheetData>
    <row r="11" spans="2:4" ht="15.75" thickBot="1" x14ac:dyDescent="0.3"/>
    <row r="12" spans="2:4" ht="23.25" x14ac:dyDescent="0.35">
      <c r="B12" s="18" t="s">
        <v>0</v>
      </c>
      <c r="C12" s="19"/>
      <c r="D12" s="20"/>
    </row>
    <row r="13" spans="2:4" ht="19.5" thickBot="1" x14ac:dyDescent="0.35">
      <c r="B13" s="24" t="s">
        <v>4</v>
      </c>
      <c r="C13" s="25"/>
      <c r="D13" s="9">
        <v>2000</v>
      </c>
    </row>
    <row r="14" spans="2:4" ht="19.5" thickBot="1" x14ac:dyDescent="0.35">
      <c r="B14" s="26" t="s">
        <v>5</v>
      </c>
      <c r="C14" s="27"/>
      <c r="D14" s="6">
        <v>6.0000000000000001E-3</v>
      </c>
    </row>
    <row r="15" spans="2:4" ht="18.75" x14ac:dyDescent="0.3">
      <c r="B15" s="28" t="s">
        <v>6</v>
      </c>
      <c r="C15" s="29"/>
      <c r="D15" s="7">
        <f>D13*30%</f>
        <v>600</v>
      </c>
    </row>
    <row r="16" spans="2:4" ht="15.75" thickBot="1" x14ac:dyDescent="0.3">
      <c r="B16" s="49"/>
      <c r="C16" s="50"/>
      <c r="D16" s="51"/>
    </row>
    <row r="17" spans="1:4" ht="23.25" x14ac:dyDescent="0.35">
      <c r="B17" s="21" t="s">
        <v>1</v>
      </c>
      <c r="C17" s="22"/>
      <c r="D17" s="23"/>
    </row>
    <row r="18" spans="1:4" ht="19.5" thickBot="1" x14ac:dyDescent="0.35">
      <c r="B18" s="24" t="s">
        <v>7</v>
      </c>
      <c r="C18" s="25"/>
      <c r="D18" s="9">
        <v>200</v>
      </c>
    </row>
    <row r="19" spans="1:4" ht="19.5" thickBot="1" x14ac:dyDescent="0.35">
      <c r="B19" s="26" t="s">
        <v>8</v>
      </c>
      <c r="C19" s="27"/>
      <c r="D19" s="8">
        <v>5</v>
      </c>
    </row>
    <row r="20" spans="1:4" ht="19.5" thickBot="1" x14ac:dyDescent="0.35">
      <c r="B20" s="26" t="s">
        <v>9</v>
      </c>
      <c r="C20" s="27"/>
      <c r="D20" s="11">
        <v>1.0800000000000001E-2</v>
      </c>
    </row>
    <row r="21" spans="1:4" ht="18" customHeight="1" thickBot="1" x14ac:dyDescent="0.35">
      <c r="B21" s="32" t="s">
        <v>10</v>
      </c>
      <c r="C21" s="33"/>
      <c r="D21" s="5">
        <f>FV(Taxa_mensal,Qtd_anos*12,Aportes_mensais*-1)</f>
        <v>16760.803871851687</v>
      </c>
    </row>
    <row r="22" spans="1:4" ht="19.5" thickBot="1" x14ac:dyDescent="0.35">
      <c r="B22" s="34" t="s">
        <v>11</v>
      </c>
      <c r="C22" s="35"/>
      <c r="D22" s="4">
        <f>Patrimonio*Rendimento_Carteira</f>
        <v>100.56482323111013</v>
      </c>
    </row>
    <row r="23" spans="1:4" x14ac:dyDescent="0.25">
      <c r="B23" s="52"/>
      <c r="C23" s="53"/>
      <c r="D23" s="54"/>
    </row>
    <row r="24" spans="1:4" ht="23.25" x14ac:dyDescent="0.35">
      <c r="B24" s="30" t="s">
        <v>2</v>
      </c>
      <c r="C24" s="31"/>
      <c r="D24" s="10" t="s">
        <v>3</v>
      </c>
    </row>
    <row r="25" spans="1:4" ht="19.5" thickBot="1" x14ac:dyDescent="0.35">
      <c r="A25" s="1">
        <v>2</v>
      </c>
      <c r="B25" s="12" t="s">
        <v>12</v>
      </c>
      <c r="C25" s="2">
        <f>FV(Taxa_mensal,A25*12,Aportes_mensais*-1)</f>
        <v>5446.172732116318</v>
      </c>
      <c r="D25" s="3">
        <f>C25*Rendimento_Carteira</f>
        <v>32.677036392697907</v>
      </c>
    </row>
    <row r="26" spans="1:4" ht="19.5" thickBot="1" x14ac:dyDescent="0.35">
      <c r="A26" s="1">
        <v>5</v>
      </c>
      <c r="B26" s="13" t="s">
        <v>13</v>
      </c>
      <c r="C26" s="2">
        <f>FV(Taxa_mensal,A26*12,Aportes_mensais*-1)</f>
        <v>16760.803871851687</v>
      </c>
      <c r="D26" s="3">
        <f>C26*Rendimento_Carteira</f>
        <v>100.56482323111013</v>
      </c>
    </row>
    <row r="27" spans="1:4" ht="19.5" thickBot="1" x14ac:dyDescent="0.35">
      <c r="A27" s="1">
        <v>10</v>
      </c>
      <c r="B27" s="13" t="s">
        <v>14</v>
      </c>
      <c r="C27" s="2">
        <f>FV(Taxa_mensal,A27*12,Aportes_mensais*-1)</f>
        <v>48691.533250960019</v>
      </c>
      <c r="D27" s="3">
        <f>C27*Rendimento_Carteira</f>
        <v>292.14919950576012</v>
      </c>
    </row>
    <row r="28" spans="1:4" ht="19.5" thickBot="1" x14ac:dyDescent="0.35">
      <c r="A28" s="1">
        <v>20</v>
      </c>
      <c r="B28" s="13" t="s">
        <v>15</v>
      </c>
      <c r="C28" s="2">
        <f>FV(Taxa_mensal,A28*12,Aportes_mensais*-1)</f>
        <v>225409.79865970465</v>
      </c>
      <c r="D28" s="3">
        <f>C28*Rendimento_Carteira</f>
        <v>1352.4587919582279</v>
      </c>
    </row>
    <row r="29" spans="1:4" ht="19.5" thickBot="1" x14ac:dyDescent="0.35">
      <c r="A29" s="1">
        <v>30</v>
      </c>
      <c r="B29" s="13" t="s">
        <v>16</v>
      </c>
      <c r="C29" s="2">
        <f>FV(Taxa_mensal,A29*12,Aportes_mensais*-1)</f>
        <v>866780.96206335025</v>
      </c>
      <c r="D29" s="3">
        <f>C29*Rendimento_Carteira</f>
        <v>5200.6857723801013</v>
      </c>
    </row>
    <row r="30" spans="1:4" ht="15.75" thickBot="1" x14ac:dyDescent="0.3">
      <c r="B30" s="55"/>
      <c r="C30" s="56"/>
      <c r="D30" s="57"/>
    </row>
    <row r="34" spans="2:4" ht="18.75" x14ac:dyDescent="0.3">
      <c r="B34" s="48" t="s">
        <v>39</v>
      </c>
      <c r="C34" s="47" t="s">
        <v>33</v>
      </c>
      <c r="D34" s="46"/>
    </row>
    <row r="35" spans="2:4" ht="18.75" x14ac:dyDescent="0.3">
      <c r="B35" s="14" t="s">
        <v>18</v>
      </c>
      <c r="C35" s="17">
        <f>Aportes_mensais</f>
        <v>200</v>
      </c>
      <c r="D35" s="14"/>
    </row>
    <row r="36" spans="2:4" ht="18.75" x14ac:dyDescent="0.3">
      <c r="B36" s="58"/>
      <c r="C36" s="58"/>
      <c r="D36" s="58"/>
    </row>
    <row r="37" spans="2:4" ht="18.75" x14ac:dyDescent="0.3">
      <c r="B37" s="43" t="s">
        <v>19</v>
      </c>
      <c r="C37" s="43" t="s">
        <v>20</v>
      </c>
      <c r="D37" s="43" t="s">
        <v>21</v>
      </c>
    </row>
    <row r="38" spans="2:4" ht="18.75" x14ac:dyDescent="0.3">
      <c r="B38" s="15" t="s">
        <v>22</v>
      </c>
      <c r="C38" s="16">
        <f>VLOOKUP($C$34&amp;"-"&amp;B38,Planilha2!$B:$E,4,FALSE)</f>
        <v>0.25</v>
      </c>
      <c r="D38" s="42">
        <f>Aportes_mensais*C38</f>
        <v>50</v>
      </c>
    </row>
    <row r="39" spans="2:4" ht="18.75" x14ac:dyDescent="0.3">
      <c r="B39" s="15" t="s">
        <v>23</v>
      </c>
      <c r="C39" s="16">
        <f>VLOOKUP($C$34&amp;"-"&amp;B39,Planilha2!$B:$E,4,FALSE)</f>
        <v>0.3</v>
      </c>
      <c r="D39" s="42">
        <f>Aportes_mensais*C39</f>
        <v>60</v>
      </c>
    </row>
    <row r="40" spans="2:4" ht="18.75" x14ac:dyDescent="0.3">
      <c r="B40" s="15" t="s">
        <v>24</v>
      </c>
      <c r="C40" s="16">
        <f>VLOOKUP($C$34&amp;"-"&amp;B40,Planilha2!$B:$E,4,FALSE)</f>
        <v>0.1</v>
      </c>
      <c r="D40" s="42">
        <f>Aportes_mensais*C40</f>
        <v>20</v>
      </c>
    </row>
    <row r="41" spans="2:4" ht="18.75" x14ac:dyDescent="0.3">
      <c r="B41" s="15" t="s">
        <v>25</v>
      </c>
      <c r="C41" s="16">
        <f>VLOOKUP($C$34&amp;"-"&amp;B41,Planilha2!$B:$E,4,FALSE)</f>
        <v>0.1</v>
      </c>
      <c r="D41" s="42">
        <f>Aportes_mensais*C41</f>
        <v>20</v>
      </c>
    </row>
    <row r="42" spans="2:4" ht="18.75" x14ac:dyDescent="0.3">
      <c r="B42" s="15" t="s">
        <v>26</v>
      </c>
      <c r="C42" s="16">
        <f>VLOOKUP($C$34&amp;"-"&amp;B42,Planilha2!$B:$E,4,FALSE)</f>
        <v>0.15</v>
      </c>
      <c r="D42" s="42">
        <f>Aportes_mensais*C42</f>
        <v>30</v>
      </c>
    </row>
    <row r="43" spans="2:4" ht="18.75" x14ac:dyDescent="0.3">
      <c r="B43" s="15" t="s">
        <v>27</v>
      </c>
      <c r="C43" s="16">
        <f>VLOOKUP($C$34&amp;"-"&amp;B43,Planilha2!$B:$E,4,FALSE)</f>
        <v>0.1</v>
      </c>
      <c r="D43" s="42">
        <f>Aportes_mensais*C43</f>
        <v>20</v>
      </c>
    </row>
    <row r="44" spans="2:4" ht="19.5" thickBot="1" x14ac:dyDescent="0.35">
      <c r="B44" s="44"/>
      <c r="C44" s="44"/>
      <c r="D44" s="45">
        <f>SUM(D38:D43)</f>
        <v>200</v>
      </c>
    </row>
    <row r="45" spans="2:4" ht="15.75" thickTop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</sheetData>
  <mergeCells count="13">
    <mergeCell ref="B18:C18"/>
    <mergeCell ref="B24:C24"/>
    <mergeCell ref="B19:C19"/>
    <mergeCell ref="B20:C20"/>
    <mergeCell ref="B21:C21"/>
    <mergeCell ref="B22:C22"/>
    <mergeCell ref="B23:C23"/>
    <mergeCell ref="B12:D12"/>
    <mergeCell ref="B16:C16"/>
    <mergeCell ref="B17:D17"/>
    <mergeCell ref="B13:C13"/>
    <mergeCell ref="B14:C14"/>
    <mergeCell ref="B15:C15"/>
  </mergeCells>
  <dataValidations count="1">
    <dataValidation type="list" showInputMessage="1" showErrorMessage="1" sqref="C34" xr:uid="{1C2E344F-2E8C-4249-8C4B-CB2BD4E76F2D}">
      <formula1>"Agressivo,Moderado,Conservador"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F3E4F-3F85-4E58-972D-9F535FB38405}">
  <dimension ref="B3:E23"/>
  <sheetViews>
    <sheetView workbookViewId="0">
      <selection activeCell="E6" sqref="E6"/>
    </sheetView>
  </sheetViews>
  <sheetFormatPr defaultRowHeight="15" x14ac:dyDescent="0.25"/>
  <cols>
    <col min="2" max="2" width="33.140625" customWidth="1"/>
    <col min="3" max="3" width="12.140625" bestFit="1" customWidth="1"/>
    <col min="4" max="4" width="19" bestFit="1" customWidth="1"/>
  </cols>
  <sheetData>
    <row r="3" spans="2:5" x14ac:dyDescent="0.25">
      <c r="B3" s="41" t="s">
        <v>28</v>
      </c>
      <c r="C3" s="41" t="s">
        <v>29</v>
      </c>
      <c r="D3" s="41" t="s">
        <v>30</v>
      </c>
      <c r="E3" s="41" t="s">
        <v>31</v>
      </c>
    </row>
    <row r="4" spans="2:5" x14ac:dyDescent="0.25">
      <c r="B4" t="str">
        <f>C4&amp;"-"&amp;D4</f>
        <v>Conservador-PAPEL</v>
      </c>
      <c r="C4" t="s">
        <v>32</v>
      </c>
      <c r="D4" t="s">
        <v>34</v>
      </c>
      <c r="E4" s="37">
        <v>0.25</v>
      </c>
    </row>
    <row r="5" spans="2:5" x14ac:dyDescent="0.25">
      <c r="B5" t="str">
        <f t="shared" ref="B5:B21" si="0">C5&amp;"-"&amp;D5</f>
        <v>Conservador-TIJOLO</v>
      </c>
      <c r="C5" t="s">
        <v>32</v>
      </c>
      <c r="D5" t="s">
        <v>35</v>
      </c>
      <c r="E5" s="37">
        <v>0.4</v>
      </c>
    </row>
    <row r="6" spans="2:5" x14ac:dyDescent="0.25">
      <c r="B6" t="str">
        <f t="shared" si="0"/>
        <v>Conservador-HÍBRIDOS</v>
      </c>
      <c r="C6" t="s">
        <v>32</v>
      </c>
      <c r="D6" t="s">
        <v>36</v>
      </c>
      <c r="E6" s="37">
        <v>0.2</v>
      </c>
    </row>
    <row r="7" spans="2:5" x14ac:dyDescent="0.25">
      <c r="B7" t="str">
        <f t="shared" si="0"/>
        <v>Conservador-FOFs</v>
      </c>
      <c r="C7" t="s">
        <v>32</v>
      </c>
      <c r="D7" t="s">
        <v>25</v>
      </c>
      <c r="E7" s="37">
        <v>0.05</v>
      </c>
    </row>
    <row r="8" spans="2:5" x14ac:dyDescent="0.25">
      <c r="B8" t="str">
        <f t="shared" si="0"/>
        <v>Conservador-DESENVOLVIMENTO</v>
      </c>
      <c r="C8" t="s">
        <v>32</v>
      </c>
      <c r="D8" t="s">
        <v>37</v>
      </c>
      <c r="E8" s="37">
        <v>7.0000000000000007E-2</v>
      </c>
    </row>
    <row r="9" spans="2:5" ht="15.75" thickBot="1" x14ac:dyDescent="0.3">
      <c r="B9" s="36" t="str">
        <f t="shared" si="0"/>
        <v>Conservador-HOTELARIAS</v>
      </c>
      <c r="C9" s="36" t="s">
        <v>32</v>
      </c>
      <c r="D9" s="36" t="s">
        <v>38</v>
      </c>
      <c r="E9" s="38">
        <v>0.03</v>
      </c>
    </row>
    <row r="10" spans="2:5" x14ac:dyDescent="0.25">
      <c r="B10" t="str">
        <f t="shared" si="0"/>
        <v>Moderado-PAPEL</v>
      </c>
      <c r="C10" t="s">
        <v>33</v>
      </c>
      <c r="D10" t="s">
        <v>34</v>
      </c>
      <c r="E10" s="39">
        <v>0.25</v>
      </c>
    </row>
    <row r="11" spans="2:5" x14ac:dyDescent="0.25">
      <c r="B11" t="str">
        <f t="shared" si="0"/>
        <v>Moderado-TIJOLO</v>
      </c>
      <c r="C11" t="s">
        <v>33</v>
      </c>
      <c r="D11" t="s">
        <v>35</v>
      </c>
      <c r="E11" s="39">
        <v>0.3</v>
      </c>
    </row>
    <row r="12" spans="2:5" x14ac:dyDescent="0.25">
      <c r="B12" t="str">
        <f t="shared" si="0"/>
        <v>Moderado-HÍBRIDOS</v>
      </c>
      <c r="C12" t="s">
        <v>33</v>
      </c>
      <c r="D12" t="s">
        <v>36</v>
      </c>
      <c r="E12" s="39">
        <v>0.1</v>
      </c>
    </row>
    <row r="13" spans="2:5" x14ac:dyDescent="0.25">
      <c r="B13" t="str">
        <f t="shared" si="0"/>
        <v>Moderado-FOFs</v>
      </c>
      <c r="C13" t="s">
        <v>33</v>
      </c>
      <c r="D13" t="s">
        <v>25</v>
      </c>
      <c r="E13" s="39">
        <v>0.1</v>
      </c>
    </row>
    <row r="14" spans="2:5" x14ac:dyDescent="0.25">
      <c r="B14" t="str">
        <f t="shared" si="0"/>
        <v>Moderado-DESENVOLVIMENTO</v>
      </c>
      <c r="C14" t="s">
        <v>33</v>
      </c>
      <c r="D14" t="s">
        <v>37</v>
      </c>
      <c r="E14" s="39">
        <v>0.15</v>
      </c>
    </row>
    <row r="15" spans="2:5" ht="15.75" thickBot="1" x14ac:dyDescent="0.3">
      <c r="B15" s="36" t="str">
        <f t="shared" si="0"/>
        <v>Moderado-HOTELARIAS</v>
      </c>
      <c r="C15" s="36" t="s">
        <v>33</v>
      </c>
      <c r="D15" s="36" t="s">
        <v>38</v>
      </c>
      <c r="E15" s="38">
        <v>0.1</v>
      </c>
    </row>
    <row r="16" spans="2:5" x14ac:dyDescent="0.25">
      <c r="B16" t="str">
        <f t="shared" si="0"/>
        <v>Agressivo-PAPEL</v>
      </c>
      <c r="C16" t="s">
        <v>17</v>
      </c>
      <c r="D16" t="s">
        <v>34</v>
      </c>
      <c r="E16" s="39">
        <v>0.52</v>
      </c>
    </row>
    <row r="17" spans="2:5" x14ac:dyDescent="0.25">
      <c r="B17" t="str">
        <f t="shared" si="0"/>
        <v>Agressivo-TIJOLO</v>
      </c>
      <c r="C17" t="s">
        <v>17</v>
      </c>
      <c r="D17" t="s">
        <v>35</v>
      </c>
      <c r="E17" s="39">
        <v>0.09</v>
      </c>
    </row>
    <row r="18" spans="2:5" x14ac:dyDescent="0.25">
      <c r="B18" t="str">
        <f t="shared" si="0"/>
        <v>Agressivo-HÍBRIDOS</v>
      </c>
      <c r="C18" t="s">
        <v>17</v>
      </c>
      <c r="D18" t="s">
        <v>36</v>
      </c>
      <c r="E18" s="39">
        <v>0.05</v>
      </c>
    </row>
    <row r="19" spans="2:5" x14ac:dyDescent="0.25">
      <c r="B19" t="str">
        <f t="shared" si="0"/>
        <v>Agressivo-FOFs</v>
      </c>
      <c r="C19" t="s">
        <v>17</v>
      </c>
      <c r="D19" t="s">
        <v>25</v>
      </c>
      <c r="E19" s="37">
        <v>0.06</v>
      </c>
    </row>
    <row r="20" spans="2:5" x14ac:dyDescent="0.25">
      <c r="B20" t="str">
        <f t="shared" si="0"/>
        <v>Agressivo-DESENVOLVIMENTO</v>
      </c>
      <c r="C20" t="s">
        <v>17</v>
      </c>
      <c r="D20" t="s">
        <v>37</v>
      </c>
      <c r="E20" s="37">
        <v>0.18</v>
      </c>
    </row>
    <row r="21" spans="2:5" x14ac:dyDescent="0.25">
      <c r="B21" t="str">
        <f t="shared" si="0"/>
        <v>Agressivo-HOTELARIAS</v>
      </c>
      <c r="C21" t="s">
        <v>17</v>
      </c>
      <c r="D21" t="s">
        <v>38</v>
      </c>
      <c r="E21" s="37">
        <v>0.1</v>
      </c>
    </row>
    <row r="23" spans="2:5" x14ac:dyDescent="0.25">
      <c r="E23" s="40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Aplicativo</vt:lpstr>
      <vt:lpstr>Planilha2</vt:lpstr>
      <vt:lpstr>Aplicativo!Aportes_mensais</vt:lpstr>
      <vt:lpstr>Aplicativo!Patrimonio</vt:lpstr>
      <vt:lpstr>Aplicativo!Qtd_anos</vt:lpstr>
      <vt:lpstr>Aplicativo!Rendimento_Carteira</vt:lpstr>
      <vt:lpstr>Aplicativo!Salario</vt:lpstr>
      <vt:lpstr>Aplicativo!Sugestao_Investimento</vt:lpstr>
      <vt:lpstr>Aplicativo!Taxa_mensal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Vasconcelos</dc:creator>
  <cp:lastModifiedBy>Arthur Vasconcelos</cp:lastModifiedBy>
  <dcterms:created xsi:type="dcterms:W3CDTF">2026-02-03T01:57:59Z</dcterms:created>
  <dcterms:modified xsi:type="dcterms:W3CDTF">2026-02-05T02:22:14Z</dcterms:modified>
</cp:coreProperties>
</file>