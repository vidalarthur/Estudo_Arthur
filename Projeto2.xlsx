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rthu\Desktop\Curso_DIO\Projeto 2\"/>
    </mc:Choice>
  </mc:AlternateContent>
  <xr:revisionPtr revIDLastSave="0" documentId="13_ncr:1_{40827A96-D621-44D5-BC60-6430B1EACD1F}" xr6:coauthVersionLast="47" xr6:coauthVersionMax="47" xr10:uidLastSave="{00000000-0000-0000-0000-000000000000}"/>
  <bookViews>
    <workbookView xWindow="-120" yWindow="-120" windowWidth="38640" windowHeight="21390" tabRatio="0" xr2:uid="{E5B617BB-3675-47E0-98DF-1155E246F037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<sst xmlns="http://schemas.openxmlformats.org/spreadsheetml/2006/main" count="101" uniqueCount="90">
  <si>
    <t xml:space="preserve">NOME 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</si>
  <si>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</si>
  <si>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</si>
  <si>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</si>
  <si>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</si>
  <si>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</si>
  <si>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</si>
  <si>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</si>
  <si>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</si>
  <si>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</si>
  <si>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</si>
  <si>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</si>
  <si>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CONJUGE</t>
  </si>
  <si>
    <t>RESIDENTE DO EXTERIOR</t>
  </si>
  <si>
    <t>1. DADOS DO TITULAR</t>
  </si>
  <si>
    <t>Preencha os dados de pessoa física abaixo</t>
  </si>
  <si>
    <t>SIM</t>
  </si>
  <si>
    <t>NÃO</t>
  </si>
  <si>
    <t xml:space="preserve">ARTHUR SEPHIROTH </t>
  </si>
  <si>
    <t>Rua Rafael de Farias, 220</t>
  </si>
  <si>
    <t>Rua Rafael de Farias, 220, Bancários</t>
  </si>
  <si>
    <t>Kyra Mirth</t>
  </si>
  <si>
    <t>arthur@gmail.com</t>
  </si>
  <si>
    <t>2. INFORMES DE RENDIMENTOS BANCÁRIOS</t>
  </si>
  <si>
    <t>Preencha com seus dados atuais de cada banco</t>
  </si>
  <si>
    <t>BANCO</t>
  </si>
  <si>
    <t>VALOR ATUAL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</si>
  <si>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</si>
  <si>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</si>
  <si>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</si>
  <si>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</si>
  <si>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</si>
  <si>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</si>
  <si>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</si>
  <si>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</si>
  <si>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</si>
  <si>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</si>
  <si>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</si>
  <si>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</si>
  <si>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</si>
  <si>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</si>
  <si>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</si>
  <si>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</si>
  <si>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</si>
  <si>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</si>
  <si>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</si>
  <si>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</si>
  <si>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</si>
  <si>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</si>
  <si>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</si>
  <si>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</si>
  <si>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</si>
  <si>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</si>
  <si>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</si>
  <si>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</si>
  <si>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</si>
  <si>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</si>
  <si>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</si>
  <si>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</si>
  <si>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</si>
  <si>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</si>
  <si>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</si>
  <si>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</si>
  <si>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</si>
  <si>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</si>
  <si>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</si>
  <si>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</si>
  <si>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</si>
  <si>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</si>
  <si>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</si>
  <si>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</si>
  <si>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</si>
  <si>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</si>
  <si>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</si>
  <si>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</si>
  <si>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</si>
  <si>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</si>
  <si>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</si>
  <si>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rendimentos_2026.pdf</t>
  </si>
  <si>
    <t>1º Banco</t>
  </si>
  <si>
    <t>2º Banco</t>
  </si>
  <si>
    <t>3º Banco</t>
  </si>
  <si>
    <t>TOTAL</t>
  </si>
  <si>
    <t>São todos os valores de entrada mês a mês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</si>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</sst>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R$&quot;\ #,##0.00"/>
    <numFmt numFmtId="168" formatCode="mmmm&quot;-&quot;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u/>
      <sz val="11"/>
      <color theme="1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2" fillId="0" borderId="1" xfId="2"/>
    <xf numFmtId="0" fontId="0" fillId="4" borderId="0" xfId="0" applyFill="1"/>
    <xf numFmtId="0" fontId="7" fillId="4" borderId="0" xfId="0" applyFont="1" applyFill="1" applyAlignment="1">
      <alignment horizontal="right"/>
    </xf>
    <xf numFmtId="0" fontId="8" fillId="0" borderId="0" xfId="0" applyFont="1"/>
    <xf numFmtId="0" fontId="4" fillId="6" borderId="0" xfId="0" applyFont="1" applyFill="1" applyAlignment="1">
      <alignment horizontal="center"/>
    </xf>
    <xf numFmtId="167" fontId="9" fillId="2" borderId="0" xfId="3" applyNumberFormat="1" applyFont="1" applyAlignment="1">
      <alignment horizontal="center"/>
    </xf>
    <xf numFmtId="0" fontId="10" fillId="5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3" fillId="2" borderId="3" xfId="3" applyBorder="1" applyAlignment="1" applyProtection="1">
      <alignment horizontal="left"/>
      <protection locked="0"/>
    </xf>
    <xf numFmtId="164" fontId="3" fillId="2" borderId="3" xfId="3" applyNumberFormat="1" applyBorder="1" applyAlignment="1" applyProtection="1">
      <alignment horizontal="left"/>
      <protection locked="0"/>
    </xf>
    <xf numFmtId="14" fontId="3" fillId="2" borderId="3" xfId="3" applyNumberFormat="1" applyBorder="1" applyAlignment="1" applyProtection="1">
      <alignment horizontal="left"/>
      <protection locked="0"/>
    </xf>
    <xf numFmtId="165" fontId="3" fillId="2" borderId="3" xfId="3" applyNumberFormat="1" applyBorder="1" applyAlignment="1" applyProtection="1">
      <alignment horizontal="left"/>
      <protection locked="0"/>
    </xf>
    <xf numFmtId="166" fontId="3" fillId="2" borderId="3" xfId="3" applyNumberFormat="1" applyBorder="1" applyAlignment="1" applyProtection="1">
      <alignment horizontal="left"/>
      <protection locked="0"/>
    </xf>
    <xf numFmtId="0" fontId="6" fillId="2" borderId="3" xfId="4" applyFill="1" applyBorder="1" applyAlignment="1" applyProtection="1">
      <alignment horizontal="left"/>
      <protection locked="0"/>
    </xf>
    <xf numFmtId="167" fontId="3" fillId="2" borderId="3" xfId="1" applyNumberFormat="1" applyFont="1" applyFill="1" applyBorder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7">
    <dxf>
      <alignment horizontal="center" vertical="bottom" textRotation="0" wrapText="0" indent="0" justifyLastLine="0" shrinkToFit="0" readingOrder="0"/>
      <protection locked="0" hidden="0"/>
    </dxf>
    <dxf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8" formatCode="mmmm&quot;-&quot;yyyy"/>
      <alignment horizontal="center" vertical="bottom" textRotation="0" wrapText="0" indent="0" justifyLastLine="0" shrinkToFit="0" readingOrder="0"/>
      <protection locked="0" hidden="0"/>
    </dxf>
    <dxf>
      <numFmt numFmtId="167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14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B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NOTAS!B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4</xdr:row>
      <xdr:rowOff>43962</xdr:rowOff>
    </xdr:from>
    <xdr:to>
      <xdr:col>0</xdr:col>
      <xdr:colOff>2209800</xdr:colOff>
      <xdr:row>15</xdr:row>
      <xdr:rowOff>0</xdr:rowOff>
    </xdr:to>
    <xdr:pic>
      <xdr:nvPicPr>
        <xdr:cNvPr id="3" name="Imagem 2" descr="1,861 Lions Purple Stock Vectors and Vector Art | Shutterstock">
          <a:extLst>
            <a:ext uri="{FF2B5EF4-FFF2-40B4-BE49-F238E27FC236}">
              <a16:creationId xmlns:a16="http://schemas.microsoft.com/office/drawing/2014/main" id="{0B77219D-5F6D-E2E2-EA33-D1267F79A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7308" y1="37500" x2="25000" y2="58571"/>
                      <a14:foregroundMark x1="25000" y1="58571" x2="28846" y2="66429"/>
                      <a14:foregroundMark x1="37308" y1="40357" x2="47308" y2="70000"/>
                      <a14:foregroundMark x1="65385" y1="58214" x2="63462" y2="71786"/>
                      <a14:foregroundMark x1="72692" y1="51786" x2="73846" y2="68214"/>
                      <a14:foregroundMark x1="75769" y1="48929" x2="73462" y2="20000"/>
                      <a14:foregroundMark x1="73462" y1="20000" x2="45000" y2="22143"/>
                      <a14:foregroundMark x1="45000" y1="22143" x2="29231" y2="45714"/>
                      <a14:foregroundMark x1="29231" y1="45714" x2="28462" y2="62143"/>
                      <a14:foregroundMark x1="70000" y1="23571" x2="44231" y2="41786"/>
                      <a14:foregroundMark x1="44231" y1="41786" x2="53462" y2="61786"/>
                      <a14:foregroundMark x1="53462" y1="61786" x2="56923" y2="59643"/>
                      <a14:foregroundMark x1="74231" y1="38214" x2="70000" y2="65714"/>
                      <a14:foregroundMark x1="70000" y1="65714" x2="68846" y2="68214"/>
                      <a14:foregroundMark x1="73846" y1="40714" x2="77692" y2="60714"/>
                      <a14:foregroundMark x1="77692" y1="60714" x2="71538" y2="68929"/>
                      <a14:foregroundMark x1="74231" y1="50714" x2="69615" y2="30000"/>
                      <a14:foregroundMark x1="69615" y1="30000" x2="45769" y2="18929"/>
                      <a14:foregroundMark x1="45769" y1="18929" x2="31538" y2="45000"/>
                      <a14:foregroundMark x1="31538" y1="45000" x2="33846" y2="63214"/>
                      <a14:foregroundMark x1="33846" y1="63214" x2="40000" y2="65000"/>
                      <a14:foregroundMark x1="63077" y1="28571" x2="76923" y2="56429"/>
                      <a14:foregroundMark x1="76923" y1="56429" x2="71538" y2="68571"/>
                      <a14:foregroundMark x1="74615" y1="39643" x2="38077" y2="25357"/>
                      <a14:foregroundMark x1="38077" y1="25357" x2="27308" y2="43214"/>
                      <a14:foregroundMark x1="27308" y1="43214" x2="28846" y2="65357"/>
                      <a14:foregroundMark x1="28846" y1="65357" x2="46154" y2="80000"/>
                      <a14:foregroundMark x1="32308" y1="57857" x2="51154" y2="78214"/>
                      <a14:foregroundMark x1="51154" y1="78214" x2="71154" y2="69286"/>
                      <a14:foregroundMark x1="71154" y1="69286" x2="60769" y2="557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82162"/>
          <a:ext cx="1905000" cy="2051538"/>
        </a:xfrm>
        <a:prstGeom prst="rect">
          <a:avLst/>
        </a:prstGeom>
        <a:noFill/>
        <a:effectLst>
          <a:outerShdw blurRad="63500" sx="102000" sy="102000" algn="ctr" rotWithShape="0">
            <a:schemeClr val="tx1">
              <a:lumMod val="50000"/>
              <a:lumOff val="50000"/>
              <a:alpha val="40000"/>
            </a:scheme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190500</xdr:colOff>
      <xdr:row>2</xdr:row>
      <xdr:rowOff>47625</xdr:rowOff>
    </xdr:from>
    <xdr:to>
      <xdr:col>0</xdr:col>
      <xdr:colOff>2324100</xdr:colOff>
      <xdr:row>5</xdr:row>
      <xdr:rowOff>66675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DBAC9F9-817A-F53E-8BE8-A3B34A1FBFBD}"/>
            </a:ext>
          </a:extLst>
        </xdr:cNvPr>
        <xdr:cNvSpPr/>
      </xdr:nvSpPr>
      <xdr:spPr>
        <a:xfrm>
          <a:off x="190500" y="428625"/>
          <a:ext cx="2133600" cy="666750"/>
        </a:xfrm>
        <a:prstGeom prst="rect">
          <a:avLst/>
        </a:prstGeom>
        <a:noFill/>
        <a:ln>
          <a:noFill/>
        </a:ln>
        <a:effectLst>
          <a:outerShdw blurRad="63500" sx="140000" sy="140000" algn="c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>
              <a:solidFill>
                <a:schemeClr val="bg2">
                  <a:lumMod val="75000"/>
                </a:schemeClr>
              </a:solidFill>
            </a:rPr>
            <a:t>Steel</a:t>
          </a:r>
          <a:r>
            <a:rPr lang="pt-BR" sz="3200" baseline="0"/>
            <a:t> </a:t>
          </a:r>
          <a:r>
            <a:rPr lang="pt-BR" sz="3200" b="1" baseline="0">
              <a:solidFill>
                <a:srgbClr val="7030A0"/>
              </a:solidFill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200025</xdr:colOff>
      <xdr:row>16</xdr:row>
      <xdr:rowOff>133350</xdr:rowOff>
    </xdr:from>
    <xdr:to>
      <xdr:col>0</xdr:col>
      <xdr:colOff>2266950</xdr:colOff>
      <xdr:row>18</xdr:row>
      <xdr:rowOff>114300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9E63FE-C69A-1A26-7E32-31D8641BACB1}"/>
            </a:ext>
          </a:extLst>
        </xdr:cNvPr>
        <xdr:cNvSpPr/>
      </xdr:nvSpPr>
      <xdr:spPr>
        <a:xfrm>
          <a:off x="200025" y="3181350"/>
          <a:ext cx="2066925" cy="361950"/>
        </a:xfrm>
        <a:prstGeom prst="roundRect">
          <a:avLst/>
        </a:prstGeom>
        <a:gradFill flip="none" rotWithShape="1">
          <a:gsLst>
            <a:gs pos="17000">
              <a:srgbClr val="7030A0"/>
            </a:gs>
            <a:gs pos="71000">
              <a:srgbClr val="9148C8"/>
            </a:gs>
          </a:gsLst>
          <a:lin ang="2700000" scaled="1"/>
          <a:tileRect/>
        </a:gra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85000"/>
                </a:schemeClr>
              </a:solidFill>
            </a:rPr>
            <a:t>TITULAR</a:t>
          </a:r>
        </a:p>
      </xdr:txBody>
    </xdr:sp>
    <xdr:clientData/>
  </xdr:twoCellAnchor>
  <xdr:twoCellAnchor>
    <xdr:from>
      <xdr:col>0</xdr:col>
      <xdr:colOff>200025</xdr:colOff>
      <xdr:row>19</xdr:row>
      <xdr:rowOff>128587</xdr:rowOff>
    </xdr:from>
    <xdr:to>
      <xdr:col>0</xdr:col>
      <xdr:colOff>2266950</xdr:colOff>
      <xdr:row>21</xdr:row>
      <xdr:rowOff>109537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271901-B729-AE94-FABE-14BAF7CC6ED7}"/>
            </a:ext>
          </a:extLst>
        </xdr:cNvPr>
        <xdr:cNvSpPr/>
      </xdr:nvSpPr>
      <xdr:spPr>
        <a:xfrm>
          <a:off x="200025" y="3748087"/>
          <a:ext cx="2066925" cy="36195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i="0">
              <a:solidFill>
                <a:schemeClr val="bg1">
                  <a:lumMod val="85000"/>
                </a:schemeClr>
              </a:solidFill>
            </a:rPr>
            <a:t>INFORMES</a:t>
          </a:r>
        </a:p>
      </xdr:txBody>
    </xdr:sp>
    <xdr:clientData/>
  </xdr:twoCellAnchor>
  <xdr:twoCellAnchor>
    <xdr:from>
      <xdr:col>0</xdr:col>
      <xdr:colOff>200025</xdr:colOff>
      <xdr:row>22</xdr:row>
      <xdr:rowOff>123825</xdr:rowOff>
    </xdr:from>
    <xdr:to>
      <xdr:col>0</xdr:col>
      <xdr:colOff>2266950</xdr:colOff>
      <xdr:row>24</xdr:row>
      <xdr:rowOff>104775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054C9C-BA2F-48E5-833F-32F0D1C64CC1}"/>
            </a:ext>
          </a:extLst>
        </xdr:cNvPr>
        <xdr:cNvSpPr/>
      </xdr:nvSpPr>
      <xdr:spPr>
        <a:xfrm>
          <a:off x="200025" y="4314825"/>
          <a:ext cx="2066925" cy="36195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85000"/>
                </a:schemeClr>
              </a:solidFill>
            </a:rPr>
            <a:t>NOTAS</a:t>
          </a:r>
        </a:p>
      </xdr:txBody>
    </xdr:sp>
    <xdr:clientData/>
  </xdr:twoCellAnchor>
  <xdr:twoCellAnchor>
    <xdr:from>
      <xdr:col>0</xdr:col>
      <xdr:colOff>600075</xdr:colOff>
      <xdr:row>26</xdr:row>
      <xdr:rowOff>161925</xdr:rowOff>
    </xdr:from>
    <xdr:to>
      <xdr:col>0</xdr:col>
      <xdr:colOff>1866900</xdr:colOff>
      <xdr:row>28</xdr:row>
      <xdr:rowOff>57150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D5B5A06-25AA-DA53-66D0-D19222C22BDD}"/>
            </a:ext>
          </a:extLst>
        </xdr:cNvPr>
        <xdr:cNvSpPr/>
      </xdr:nvSpPr>
      <xdr:spPr>
        <a:xfrm>
          <a:off x="600075" y="5114925"/>
          <a:ext cx="12668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by Sephys 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390525</xdr:colOff>
      <xdr:row>26</xdr:row>
      <xdr:rowOff>171450</xdr:rowOff>
    </xdr:from>
    <xdr:to>
      <xdr:col>0</xdr:col>
      <xdr:colOff>2085975</xdr:colOff>
      <xdr:row>26</xdr:row>
      <xdr:rowOff>171450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849DD59-0120-2C1E-0934-12422C0A6740}"/>
            </a:ext>
          </a:extLst>
        </xdr:cNvPr>
        <xdr:cNvCxnSpPr/>
      </xdr:nvCxnSpPr>
      <xdr:spPr>
        <a:xfrm>
          <a:off x="390525" y="5124450"/>
          <a:ext cx="1695450" cy="0"/>
        </a:xfrm>
        <a:prstGeom prst="line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2667000</xdr:colOff>
      <xdr:row>21</xdr:row>
      <xdr:rowOff>28575</xdr:rowOff>
    </xdr:from>
    <xdr:to>
      <xdr:col>4</xdr:col>
      <xdr:colOff>19050</xdr:colOff>
      <xdr:row>23</xdr:row>
      <xdr:rowOff>9525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E163DAC-B432-480C-AAE1-94534A49801E}"/>
            </a:ext>
          </a:extLst>
        </xdr:cNvPr>
        <xdr:cNvSpPr/>
      </xdr:nvSpPr>
      <xdr:spPr>
        <a:xfrm>
          <a:off x="5734050" y="4105275"/>
          <a:ext cx="27813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  <a:p>
          <a:pPr algn="ctr"/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4</xdr:row>
      <xdr:rowOff>43962</xdr:rowOff>
    </xdr:from>
    <xdr:to>
      <xdr:col>0</xdr:col>
      <xdr:colOff>2209800</xdr:colOff>
      <xdr:row>14</xdr:row>
      <xdr:rowOff>180975</xdr:rowOff>
    </xdr:to>
    <xdr:pic>
      <xdr:nvPicPr>
        <xdr:cNvPr id="2" name="Imagem 1" descr="1,861 Lions Purple Stock Vectors and Vector Art | Shutterstock">
          <a:extLst>
            <a:ext uri="{FF2B5EF4-FFF2-40B4-BE49-F238E27FC236}">
              <a16:creationId xmlns:a16="http://schemas.microsoft.com/office/drawing/2014/main" id="{63B762AF-8D1E-457D-9E61-35E86046D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7308" y1="37500" x2="25000" y2="58571"/>
                      <a14:foregroundMark x1="25000" y1="58571" x2="28846" y2="66429"/>
                      <a14:foregroundMark x1="37308" y1="40357" x2="47308" y2="70000"/>
                      <a14:foregroundMark x1="65385" y1="58214" x2="63462" y2="71786"/>
                      <a14:foregroundMark x1="72692" y1="51786" x2="73846" y2="68214"/>
                      <a14:foregroundMark x1="75769" y1="48929" x2="73462" y2="20000"/>
                      <a14:foregroundMark x1="73462" y1="20000" x2="45000" y2="22143"/>
                      <a14:foregroundMark x1="45000" y1="22143" x2="29231" y2="45714"/>
                      <a14:foregroundMark x1="29231" y1="45714" x2="28462" y2="62143"/>
                      <a14:foregroundMark x1="70000" y1="23571" x2="44231" y2="41786"/>
                      <a14:foregroundMark x1="44231" y1="41786" x2="53462" y2="61786"/>
                      <a14:foregroundMark x1="53462" y1="61786" x2="56923" y2="59643"/>
                      <a14:foregroundMark x1="74231" y1="38214" x2="70000" y2="65714"/>
                      <a14:foregroundMark x1="70000" y1="65714" x2="68846" y2="68214"/>
                      <a14:foregroundMark x1="73846" y1="40714" x2="77692" y2="60714"/>
                      <a14:foregroundMark x1="77692" y1="60714" x2="71538" y2="68929"/>
                      <a14:foregroundMark x1="74231" y1="50714" x2="69615" y2="30000"/>
                      <a14:foregroundMark x1="69615" y1="30000" x2="45769" y2="18929"/>
                      <a14:foregroundMark x1="45769" y1="18929" x2="31538" y2="45000"/>
                      <a14:foregroundMark x1="31538" y1="45000" x2="33846" y2="63214"/>
                      <a14:foregroundMark x1="33846" y1="63214" x2="40000" y2="65000"/>
                      <a14:foregroundMark x1="63077" y1="28571" x2="76923" y2="56429"/>
                      <a14:foregroundMark x1="76923" y1="56429" x2="71538" y2="68571"/>
                      <a14:foregroundMark x1="74615" y1="39643" x2="38077" y2="25357"/>
                      <a14:foregroundMark x1="38077" y1="25357" x2="27308" y2="43214"/>
                      <a14:foregroundMark x1="27308" y1="43214" x2="28846" y2="65357"/>
                      <a14:foregroundMark x1="28846" y1="65357" x2="46154" y2="80000"/>
                      <a14:foregroundMark x1="32308" y1="57857" x2="51154" y2="78214"/>
                      <a14:foregroundMark x1="51154" y1="78214" x2="71154" y2="69286"/>
                      <a14:foregroundMark x1="71154" y1="69286" x2="60769" y2="557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82162"/>
          <a:ext cx="1905000" cy="2051538"/>
        </a:xfrm>
        <a:prstGeom prst="rect">
          <a:avLst/>
        </a:prstGeom>
        <a:noFill/>
        <a:effectLst>
          <a:outerShdw blurRad="63500" sx="102000" sy="102000" algn="ctr" rotWithShape="0">
            <a:schemeClr val="tx1">
              <a:lumMod val="50000"/>
              <a:lumOff val="50000"/>
              <a:alpha val="40000"/>
            </a:scheme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190500</xdr:colOff>
      <xdr:row>2</xdr:row>
      <xdr:rowOff>47625</xdr:rowOff>
    </xdr:from>
    <xdr:to>
      <xdr:col>0</xdr:col>
      <xdr:colOff>2324100</xdr:colOff>
      <xdr:row>5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B9D750D-DA33-4981-A4C3-1934C7A230A0}"/>
            </a:ext>
          </a:extLst>
        </xdr:cNvPr>
        <xdr:cNvSpPr/>
      </xdr:nvSpPr>
      <xdr:spPr>
        <a:xfrm>
          <a:off x="190500" y="428625"/>
          <a:ext cx="2133600" cy="666750"/>
        </a:xfrm>
        <a:prstGeom prst="rect">
          <a:avLst/>
        </a:prstGeom>
        <a:noFill/>
        <a:ln>
          <a:noFill/>
        </a:ln>
        <a:effectLst>
          <a:outerShdw blurRad="63500" sx="140000" sy="140000" algn="c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>
              <a:solidFill>
                <a:schemeClr val="bg2">
                  <a:lumMod val="75000"/>
                </a:schemeClr>
              </a:solidFill>
            </a:rPr>
            <a:t>Steel</a:t>
          </a:r>
          <a:r>
            <a:rPr lang="pt-BR" sz="3200" baseline="0"/>
            <a:t> </a:t>
          </a:r>
          <a:r>
            <a:rPr lang="pt-BR" sz="3200" b="1" baseline="0">
              <a:solidFill>
                <a:srgbClr val="7030A0"/>
              </a:solidFill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200025</xdr:colOff>
      <xdr:row>16</xdr:row>
      <xdr:rowOff>133350</xdr:rowOff>
    </xdr:from>
    <xdr:to>
      <xdr:col>0</xdr:col>
      <xdr:colOff>2266950</xdr:colOff>
      <xdr:row>18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FC79067-66A1-4D41-894D-5B5542D15C5C}"/>
            </a:ext>
          </a:extLst>
        </xdr:cNvPr>
        <xdr:cNvSpPr/>
      </xdr:nvSpPr>
      <xdr:spPr>
        <a:xfrm>
          <a:off x="200025" y="3181350"/>
          <a:ext cx="2066925" cy="36195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85000"/>
                </a:schemeClr>
              </a:solidFill>
            </a:rPr>
            <a:t>TITULAR</a:t>
          </a:r>
        </a:p>
      </xdr:txBody>
    </xdr:sp>
    <xdr:clientData/>
  </xdr:twoCellAnchor>
  <xdr:twoCellAnchor>
    <xdr:from>
      <xdr:col>0</xdr:col>
      <xdr:colOff>200025</xdr:colOff>
      <xdr:row>19</xdr:row>
      <xdr:rowOff>128587</xdr:rowOff>
    </xdr:from>
    <xdr:to>
      <xdr:col>0</xdr:col>
      <xdr:colOff>2266950</xdr:colOff>
      <xdr:row>21</xdr:row>
      <xdr:rowOff>109537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59AB55-DC62-4FD6-9A33-FD09F5C70800}"/>
            </a:ext>
          </a:extLst>
        </xdr:cNvPr>
        <xdr:cNvSpPr/>
      </xdr:nvSpPr>
      <xdr:spPr>
        <a:xfrm>
          <a:off x="200025" y="3748087"/>
          <a:ext cx="2066925" cy="361950"/>
        </a:xfrm>
        <a:prstGeom prst="roundRect">
          <a:avLst/>
        </a:prstGeom>
        <a:gradFill flip="none" rotWithShape="1">
          <a:gsLst>
            <a:gs pos="17000">
              <a:srgbClr val="7030A0"/>
            </a:gs>
            <a:gs pos="71000">
              <a:srgbClr val="9148C8"/>
            </a:gs>
          </a:gsLst>
          <a:lin ang="2700000" scaled="1"/>
          <a:tileRect/>
        </a:gra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i="0">
              <a:solidFill>
                <a:schemeClr val="bg1">
                  <a:lumMod val="85000"/>
                </a:schemeClr>
              </a:solidFill>
            </a:rPr>
            <a:t>INFORMES</a:t>
          </a:r>
        </a:p>
      </xdr:txBody>
    </xdr:sp>
    <xdr:clientData/>
  </xdr:twoCellAnchor>
  <xdr:twoCellAnchor>
    <xdr:from>
      <xdr:col>0</xdr:col>
      <xdr:colOff>200025</xdr:colOff>
      <xdr:row>22</xdr:row>
      <xdr:rowOff>123825</xdr:rowOff>
    </xdr:from>
    <xdr:to>
      <xdr:col>0</xdr:col>
      <xdr:colOff>2266950</xdr:colOff>
      <xdr:row>24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52A932-AD39-4764-9938-BCC884A47BEB}"/>
            </a:ext>
          </a:extLst>
        </xdr:cNvPr>
        <xdr:cNvSpPr/>
      </xdr:nvSpPr>
      <xdr:spPr>
        <a:xfrm>
          <a:off x="200025" y="4314825"/>
          <a:ext cx="2066925" cy="36195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85000"/>
                </a:schemeClr>
              </a:solidFill>
            </a:rPr>
            <a:t>NOTAS</a:t>
          </a:r>
        </a:p>
      </xdr:txBody>
    </xdr:sp>
    <xdr:clientData/>
  </xdr:twoCellAnchor>
  <xdr:twoCellAnchor>
    <xdr:from>
      <xdr:col>0</xdr:col>
      <xdr:colOff>600075</xdr:colOff>
      <xdr:row>26</xdr:row>
      <xdr:rowOff>161925</xdr:rowOff>
    </xdr:from>
    <xdr:to>
      <xdr:col>0</xdr:col>
      <xdr:colOff>1866900</xdr:colOff>
      <xdr:row>28</xdr:row>
      <xdr:rowOff>57150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68A3D51-B63B-46AE-86F1-A3096C95427B}"/>
            </a:ext>
          </a:extLst>
        </xdr:cNvPr>
        <xdr:cNvSpPr/>
      </xdr:nvSpPr>
      <xdr:spPr>
        <a:xfrm>
          <a:off x="600075" y="5114925"/>
          <a:ext cx="12668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by Sephys 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390525</xdr:colOff>
      <xdr:row>26</xdr:row>
      <xdr:rowOff>171450</xdr:rowOff>
    </xdr:from>
    <xdr:to>
      <xdr:col>0</xdr:col>
      <xdr:colOff>2085975</xdr:colOff>
      <xdr:row>26</xdr:row>
      <xdr:rowOff>171450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A169D96-2C1C-46A8-8310-13E21486C859}"/>
            </a:ext>
          </a:extLst>
        </xdr:cNvPr>
        <xdr:cNvCxnSpPr/>
      </xdr:nvCxnSpPr>
      <xdr:spPr>
        <a:xfrm>
          <a:off x="390525" y="5124450"/>
          <a:ext cx="1695450" cy="0"/>
        </a:xfrm>
        <a:prstGeom prst="line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2638425</xdr:colOff>
      <xdr:row>23</xdr:row>
      <xdr:rowOff>180975</xdr:rowOff>
    </xdr:from>
    <xdr:to>
      <xdr:col>3</xdr:col>
      <xdr:colOff>2743200</xdr:colOff>
      <xdr:row>25</xdr:row>
      <xdr:rowOff>161925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A97197D-D5BF-4BFD-B5C0-5967636031EB}"/>
            </a:ext>
          </a:extLst>
        </xdr:cNvPr>
        <xdr:cNvSpPr/>
      </xdr:nvSpPr>
      <xdr:spPr>
        <a:xfrm>
          <a:off x="5705475" y="4648200"/>
          <a:ext cx="278130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  <a:p>
          <a:pPr algn="ctr"/>
          <a:endParaRPr lang="pt-BR" sz="1100" b="1"/>
        </a:p>
      </xdr:txBody>
    </xdr:sp>
    <xdr:clientData/>
  </xdr:twoCellAnchor>
  <xdr:twoCellAnchor editAs="absolute">
    <xdr:from>
      <xdr:col>2</xdr:col>
      <xdr:colOff>0</xdr:colOff>
      <xdr:row>23</xdr:row>
      <xdr:rowOff>180975</xdr:rowOff>
    </xdr:from>
    <xdr:to>
      <xdr:col>2</xdr:col>
      <xdr:colOff>2647950</xdr:colOff>
      <xdr:row>25</xdr:row>
      <xdr:rowOff>161925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A551D5C-8B8A-DC26-6042-3D67D7FD655A}"/>
            </a:ext>
          </a:extLst>
        </xdr:cNvPr>
        <xdr:cNvSpPr/>
      </xdr:nvSpPr>
      <xdr:spPr>
        <a:xfrm>
          <a:off x="3067050" y="4648200"/>
          <a:ext cx="2647950" cy="361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 ANTERIOR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4</xdr:row>
      <xdr:rowOff>43962</xdr:rowOff>
    </xdr:from>
    <xdr:to>
      <xdr:col>0</xdr:col>
      <xdr:colOff>2209800</xdr:colOff>
      <xdr:row>15</xdr:row>
      <xdr:rowOff>0</xdr:rowOff>
    </xdr:to>
    <xdr:pic>
      <xdr:nvPicPr>
        <xdr:cNvPr id="2" name="LION icon" descr="1,861 Lions Purple Stock Vectors and Vector Art | Shutterstock">
          <a:extLst>
            <a:ext uri="{FF2B5EF4-FFF2-40B4-BE49-F238E27FC236}">
              <a16:creationId xmlns:a16="http://schemas.microsoft.com/office/drawing/2014/main" id="{FA1F9081-2000-4060-A4BB-606E2109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7308" y1="37500" x2="25000" y2="58571"/>
                      <a14:foregroundMark x1="25000" y1="58571" x2="28846" y2="66429"/>
                      <a14:foregroundMark x1="37308" y1="40357" x2="47308" y2="70000"/>
                      <a14:foregroundMark x1="65385" y1="58214" x2="63462" y2="71786"/>
                      <a14:foregroundMark x1="72692" y1="51786" x2="73846" y2="68214"/>
                      <a14:foregroundMark x1="75769" y1="48929" x2="73462" y2="20000"/>
                      <a14:foregroundMark x1="73462" y1="20000" x2="45000" y2="22143"/>
                      <a14:foregroundMark x1="45000" y1="22143" x2="29231" y2="45714"/>
                      <a14:foregroundMark x1="29231" y1="45714" x2="28462" y2="62143"/>
                      <a14:foregroundMark x1="70000" y1="23571" x2="44231" y2="41786"/>
                      <a14:foregroundMark x1="44231" y1="41786" x2="53462" y2="61786"/>
                      <a14:foregroundMark x1="53462" y1="61786" x2="56923" y2="59643"/>
                      <a14:foregroundMark x1="74231" y1="38214" x2="70000" y2="65714"/>
                      <a14:foregroundMark x1="70000" y1="65714" x2="68846" y2="68214"/>
                      <a14:foregroundMark x1="73846" y1="40714" x2="77692" y2="60714"/>
                      <a14:foregroundMark x1="77692" y1="60714" x2="71538" y2="68929"/>
                      <a14:foregroundMark x1="74231" y1="50714" x2="69615" y2="30000"/>
                      <a14:foregroundMark x1="69615" y1="30000" x2="45769" y2="18929"/>
                      <a14:foregroundMark x1="45769" y1="18929" x2="31538" y2="45000"/>
                      <a14:foregroundMark x1="31538" y1="45000" x2="33846" y2="63214"/>
                      <a14:foregroundMark x1="33846" y1="63214" x2="40000" y2="65000"/>
                      <a14:foregroundMark x1="63077" y1="28571" x2="76923" y2="56429"/>
                      <a14:foregroundMark x1="76923" y1="56429" x2="71538" y2="68571"/>
                      <a14:foregroundMark x1="74615" y1="39643" x2="38077" y2="25357"/>
                      <a14:foregroundMark x1="38077" y1="25357" x2="27308" y2="43214"/>
                      <a14:foregroundMark x1="27308" y1="43214" x2="28846" y2="65357"/>
                      <a14:foregroundMark x1="28846" y1="65357" x2="46154" y2="80000"/>
                      <a14:foregroundMark x1="32308" y1="57857" x2="51154" y2="78214"/>
                      <a14:foregroundMark x1="51154" y1="78214" x2="71154" y2="69286"/>
                      <a14:foregroundMark x1="71154" y1="69286" x2="60769" y2="5571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82162"/>
          <a:ext cx="1905000" cy="2051538"/>
        </a:xfrm>
        <a:prstGeom prst="rect">
          <a:avLst/>
        </a:prstGeom>
        <a:noFill/>
        <a:effectLst>
          <a:outerShdw blurRad="63500" sx="102000" sy="102000" algn="ctr" rotWithShape="0">
            <a:schemeClr val="tx1">
              <a:lumMod val="50000"/>
              <a:lumOff val="50000"/>
              <a:alpha val="40000"/>
            </a:scheme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190500</xdr:colOff>
      <xdr:row>2</xdr:row>
      <xdr:rowOff>47625</xdr:rowOff>
    </xdr:from>
    <xdr:to>
      <xdr:col>0</xdr:col>
      <xdr:colOff>2324100</xdr:colOff>
      <xdr:row>5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45E0269-CD06-4C4B-9539-DEA5341293FF}"/>
            </a:ext>
          </a:extLst>
        </xdr:cNvPr>
        <xdr:cNvSpPr/>
      </xdr:nvSpPr>
      <xdr:spPr>
        <a:xfrm>
          <a:off x="190500" y="428625"/>
          <a:ext cx="2133600" cy="666750"/>
        </a:xfrm>
        <a:prstGeom prst="rect">
          <a:avLst/>
        </a:prstGeom>
        <a:noFill/>
        <a:ln>
          <a:noFill/>
        </a:ln>
        <a:effectLst>
          <a:outerShdw blurRad="63500" sx="140000" sy="140000" algn="c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200">
              <a:solidFill>
                <a:schemeClr val="bg2">
                  <a:lumMod val="75000"/>
                </a:schemeClr>
              </a:solidFill>
            </a:rPr>
            <a:t>Steel</a:t>
          </a:r>
          <a:r>
            <a:rPr lang="pt-BR" sz="3200" baseline="0"/>
            <a:t> </a:t>
          </a:r>
          <a:r>
            <a:rPr lang="pt-BR" sz="3200" b="1" baseline="0">
              <a:solidFill>
                <a:srgbClr val="7030A0"/>
              </a:solidFill>
            </a:rPr>
            <a:t>APP</a:t>
          </a: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200025</xdr:colOff>
      <xdr:row>16</xdr:row>
      <xdr:rowOff>133350</xdr:rowOff>
    </xdr:from>
    <xdr:to>
      <xdr:col>0</xdr:col>
      <xdr:colOff>2266950</xdr:colOff>
      <xdr:row>18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93AB60-CC5B-4D9A-A552-35F932BCDC07}"/>
            </a:ext>
          </a:extLst>
        </xdr:cNvPr>
        <xdr:cNvSpPr/>
      </xdr:nvSpPr>
      <xdr:spPr>
        <a:xfrm>
          <a:off x="200025" y="3181350"/>
          <a:ext cx="2066925" cy="36195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85000"/>
                </a:schemeClr>
              </a:solidFill>
            </a:rPr>
            <a:t>TITULAR</a:t>
          </a:r>
        </a:p>
      </xdr:txBody>
    </xdr:sp>
    <xdr:clientData/>
  </xdr:twoCellAnchor>
  <xdr:twoCellAnchor>
    <xdr:from>
      <xdr:col>0</xdr:col>
      <xdr:colOff>200025</xdr:colOff>
      <xdr:row>19</xdr:row>
      <xdr:rowOff>128587</xdr:rowOff>
    </xdr:from>
    <xdr:to>
      <xdr:col>0</xdr:col>
      <xdr:colOff>2266950</xdr:colOff>
      <xdr:row>21</xdr:row>
      <xdr:rowOff>109537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472B24-679A-47D1-BA82-CFFB2CD82285}"/>
            </a:ext>
          </a:extLst>
        </xdr:cNvPr>
        <xdr:cNvSpPr/>
      </xdr:nvSpPr>
      <xdr:spPr>
        <a:xfrm>
          <a:off x="200025" y="3748087"/>
          <a:ext cx="2066925" cy="361950"/>
        </a:xfrm>
        <a:prstGeom prst="roundRect">
          <a:avLst/>
        </a:prstGeom>
        <a:noFill/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i="0">
              <a:solidFill>
                <a:schemeClr val="bg1">
                  <a:lumMod val="85000"/>
                </a:schemeClr>
              </a:solidFill>
            </a:rPr>
            <a:t>INFORMES</a:t>
          </a:r>
        </a:p>
      </xdr:txBody>
    </xdr:sp>
    <xdr:clientData/>
  </xdr:twoCellAnchor>
  <xdr:twoCellAnchor>
    <xdr:from>
      <xdr:col>0</xdr:col>
      <xdr:colOff>200025</xdr:colOff>
      <xdr:row>22</xdr:row>
      <xdr:rowOff>123825</xdr:rowOff>
    </xdr:from>
    <xdr:to>
      <xdr:col>0</xdr:col>
      <xdr:colOff>2266950</xdr:colOff>
      <xdr:row>24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36EA74-42E9-4EF8-B14D-C11B1F32C9E4}"/>
            </a:ext>
          </a:extLst>
        </xdr:cNvPr>
        <xdr:cNvSpPr/>
      </xdr:nvSpPr>
      <xdr:spPr>
        <a:xfrm>
          <a:off x="200025" y="4314825"/>
          <a:ext cx="2066925" cy="361950"/>
        </a:xfrm>
        <a:prstGeom prst="roundRect">
          <a:avLst/>
        </a:prstGeom>
        <a:gradFill flip="none" rotWithShape="1">
          <a:gsLst>
            <a:gs pos="17000">
              <a:srgbClr val="7030A0"/>
            </a:gs>
            <a:gs pos="71000">
              <a:srgbClr val="9148C8"/>
            </a:gs>
          </a:gsLst>
          <a:lin ang="2700000" scaled="1"/>
          <a:tileRect/>
        </a:gra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85000"/>
                </a:schemeClr>
              </a:solidFill>
            </a:rPr>
            <a:t>NOTAS</a:t>
          </a:r>
        </a:p>
      </xdr:txBody>
    </xdr:sp>
    <xdr:clientData/>
  </xdr:twoCellAnchor>
  <xdr:twoCellAnchor>
    <xdr:from>
      <xdr:col>0</xdr:col>
      <xdr:colOff>600075</xdr:colOff>
      <xdr:row>26</xdr:row>
      <xdr:rowOff>161925</xdr:rowOff>
    </xdr:from>
    <xdr:to>
      <xdr:col>0</xdr:col>
      <xdr:colOff>1866900</xdr:colOff>
      <xdr:row>28</xdr:row>
      <xdr:rowOff>57150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4F052CD-EE5C-4F6E-AFBC-CF5A998EACD9}"/>
            </a:ext>
          </a:extLst>
        </xdr:cNvPr>
        <xdr:cNvSpPr/>
      </xdr:nvSpPr>
      <xdr:spPr>
        <a:xfrm>
          <a:off x="600075" y="5114925"/>
          <a:ext cx="12668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by Sephys 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390525</xdr:colOff>
      <xdr:row>26</xdr:row>
      <xdr:rowOff>171450</xdr:rowOff>
    </xdr:from>
    <xdr:to>
      <xdr:col>0</xdr:col>
      <xdr:colOff>2085975</xdr:colOff>
      <xdr:row>26</xdr:row>
      <xdr:rowOff>171450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3E68728-A836-4610-B5C2-3CD6132FE32D}"/>
            </a:ext>
          </a:extLst>
        </xdr:cNvPr>
        <xdr:cNvCxnSpPr/>
      </xdr:nvCxnSpPr>
      <xdr:spPr>
        <a:xfrm>
          <a:off x="390525" y="5124450"/>
          <a:ext cx="1695450" cy="0"/>
        </a:xfrm>
        <a:prstGeom prst="line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95250</xdr:rowOff>
    </xdr:from>
    <xdr:to>
      <xdr:col>3</xdr:col>
      <xdr:colOff>9525</xdr:colOff>
      <xdr:row>5</xdr:row>
      <xdr:rowOff>66675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5E1C2EF-0963-41E2-A986-1808AD21122C}"/>
            </a:ext>
          </a:extLst>
        </xdr:cNvPr>
        <xdr:cNvSpPr/>
      </xdr:nvSpPr>
      <xdr:spPr>
        <a:xfrm>
          <a:off x="3067050" y="933450"/>
          <a:ext cx="1428750" cy="161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210FB-CF3F-4811-AF05-8FDCE2CDCC97}" name="Tabela1" displayName="Tabela1" ref="C8:E32" headerRowDxfId="6" dataDxfId="0">
  <autoFilter ref="C8:E32" xr:uid="{6F1210FB-CF3F-4811-AF05-8FDCE2CDCC97}"/>
  <tableColumns count="3">
    <tableColumn id="1" xr3:uid="{2C29AB59-170B-45A3-9291-D3304BCDD02A}" name="DATA" totalsRowLabel="Total" dataDxfId="3" totalsRowDxfId="5"/>
    <tableColumn id="2" xr3:uid="{A2127D85-F9D9-4CFC-9A98-895D591E22B8}" name="CATEGORIA" dataDxfId="2"/>
    <tableColumn id="3" xr3:uid="{445C94B1-6070-4202-98C9-F4492A940F06}" name="VALOR" totalsRowFunction="sum" dataDxfId="1" totalsRowDxfId="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thur@g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1649-B2FE-4631-B478-1CFED50E4853}">
  <sheetPr codeName="Planilha1"/>
  <dimension ref="A3:E20"/>
  <sheetViews>
    <sheetView showGridLines="0" showRowColHeaders="0" tabSelected="1" zoomScaleNormal="100" workbookViewId="0">
      <selection activeCell="D19" sqref="D19"/>
    </sheetView>
  </sheetViews>
  <sheetFormatPr defaultRowHeight="15" x14ac:dyDescent="0.25"/>
  <cols>
    <col min="1" max="1" width="36.85546875" style="1" customWidth="1"/>
    <col min="3" max="3" width="40.140625" bestFit="1" customWidth="1"/>
    <col min="4" max="4" width="41.28515625" customWidth="1"/>
  </cols>
  <sheetData>
    <row r="3" spans="3:5" ht="20.25" thickBot="1" x14ac:dyDescent="0.35">
      <c r="C3" s="3" t="s">
        <v>14</v>
      </c>
      <c r="D3" s="3"/>
      <c r="E3" s="3"/>
    </row>
    <row r="4" spans="3:5" ht="15.75" thickTop="1" x14ac:dyDescent="0.25">
      <c r="C4" s="5" t="s">
        <v>15</v>
      </c>
      <c r="D4" s="4"/>
      <c r="E4" s="4"/>
    </row>
    <row r="7" spans="3:5" x14ac:dyDescent="0.25">
      <c r="C7" s="2" t="s">
        <v>0</v>
      </c>
      <c r="D7" s="11" t="s">
        <v>18</v>
      </c>
    </row>
    <row r="8" spans="3:5" x14ac:dyDescent="0.25">
      <c r="C8" s="2" t="s">
        <v>1</v>
      </c>
      <c r="D8" s="12">
        <v>98765432108</v>
      </c>
    </row>
    <row r="9" spans="3:5" x14ac:dyDescent="0.25">
      <c r="C9" s="2" t="s">
        <v>2</v>
      </c>
      <c r="D9" s="13">
        <v>32378</v>
      </c>
    </row>
    <row r="10" spans="3:5" x14ac:dyDescent="0.25">
      <c r="C10" s="2" t="s">
        <v>3</v>
      </c>
      <c r="D10" s="11">
        <v>321654987</v>
      </c>
    </row>
    <row r="11" spans="3:5" x14ac:dyDescent="0.25">
      <c r="C11" s="2" t="s">
        <v>4</v>
      </c>
      <c r="D11" s="11" t="s">
        <v>21</v>
      </c>
    </row>
    <row r="12" spans="3:5" x14ac:dyDescent="0.25">
      <c r="C12" s="2" t="s">
        <v>5</v>
      </c>
      <c r="D12" s="11" t="s">
        <v>20</v>
      </c>
    </row>
    <row r="13" spans="3:5" x14ac:dyDescent="0.25">
      <c r="C13" s="2" t="s">
        <v>6</v>
      </c>
      <c r="D13" s="11" t="s">
        <v>19</v>
      </c>
    </row>
    <row r="14" spans="3:5" x14ac:dyDescent="0.25">
      <c r="C14" s="2" t="s">
        <v>7</v>
      </c>
      <c r="D14" s="14">
        <v>987654321</v>
      </c>
    </row>
    <row r="15" spans="3:5" x14ac:dyDescent="0.25">
      <c r="C15" s="2" t="s">
        <v>8</v>
      </c>
      <c r="D15" s="15">
        <v>8395634587</v>
      </c>
    </row>
    <row r="16" spans="3:5" x14ac:dyDescent="0.25">
      <c r="C16" s="2" t="s">
        <v>9</v>
      </c>
      <c r="D16" s="15">
        <v>8395634587</v>
      </c>
    </row>
    <row r="17" spans="3:4" x14ac:dyDescent="0.25">
      <c r="C17" s="2" t="s">
        <v>10</v>
      </c>
      <c r="D17" s="16" t="s">
        <v>22</v>
      </c>
    </row>
    <row r="18" spans="3:4" x14ac:dyDescent="0.25">
      <c r="C18" s="2" t="s">
        <v>11</v>
      </c>
      <c r="D18" s="11" t="s">
        <v>16</v>
      </c>
    </row>
    <row r="19" spans="3:4" x14ac:dyDescent="0.25">
      <c r="C19" s="2" t="s">
        <v>12</v>
      </c>
      <c r="D19" s="11" t="s">
        <v>17</v>
      </c>
    </row>
    <row r="20" spans="3:4" x14ac:dyDescent="0.25">
      <c r="C20" s="2" t="s">
        <v>13</v>
      </c>
      <c r="D20" s="11" t="s">
        <v>17</v>
      </c>
    </row>
  </sheetData>
  <sheetProtection sheet="1" objects="1" scenarios="1" selectLockedCells="1"/>
  <dataValidations count="1">
    <dataValidation type="list" allowBlank="1" showInputMessage="1" showErrorMessage="1" sqref="D18:D20" xr:uid="{374293AE-60D5-4C68-AEBB-154605DF3EDB}">
      <formula1>"SIM,NÃO"</formula1>
    </dataValidation>
  </dataValidations>
  <hyperlinks>
    <hyperlink ref="D17" r:id="rId1" xr:uid="{8D6AA997-E8A8-4F28-BAA3-A2B10B0E48B8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913B-5815-4852-8A0B-33AA5C5ADB9B}">
  <sheetPr codeName="Planilha2"/>
  <dimension ref="A3:E23"/>
  <sheetViews>
    <sheetView showGridLines="0" showRowColHeaders="0" workbookViewId="0">
      <selection activeCell="D21" activeCellId="2" sqref="D11:D13 D16:D18 D21:D23"/>
    </sheetView>
  </sheetViews>
  <sheetFormatPr defaultRowHeight="15" x14ac:dyDescent="0.25"/>
  <cols>
    <col min="1" max="1" width="36.85546875" style="1" customWidth="1"/>
    <col min="3" max="3" width="40.140625" customWidth="1"/>
    <col min="4" max="4" width="41.28515625" customWidth="1"/>
  </cols>
  <sheetData>
    <row r="3" spans="3:5" ht="20.25" thickBot="1" x14ac:dyDescent="0.35">
      <c r="C3" s="3" t="s">
        <v>23</v>
      </c>
      <c r="D3" s="3"/>
      <c r="E3" s="3"/>
    </row>
    <row r="4" spans="3:5" ht="15.75" thickTop="1" x14ac:dyDescent="0.25">
      <c r="C4" s="5" t="s">
        <v>24</v>
      </c>
      <c r="D4" s="4"/>
      <c r="E4" s="4"/>
    </row>
    <row r="6" spans="3:5" x14ac:dyDescent="0.25">
      <c r="C6" t="s">
        <v>82</v>
      </c>
    </row>
    <row r="7" spans="3:5" ht="15.75" x14ac:dyDescent="0.25">
      <c r="C7" s="8">
        <f>SUM(D12,D17,D22)</f>
        <v>725300</v>
      </c>
      <c r="D7" s="8"/>
    </row>
    <row r="10" spans="3:5" x14ac:dyDescent="0.25">
      <c r="C10" s="6" t="s">
        <v>79</v>
      </c>
    </row>
    <row r="11" spans="3:5" x14ac:dyDescent="0.25">
      <c r="C11" s="2" t="s">
        <v>25</v>
      </c>
      <c r="D11" s="11"/>
    </row>
    <row r="12" spans="3:5" x14ac:dyDescent="0.25">
      <c r="C12" s="2" t="s">
        <v>26</v>
      </c>
      <c r="D12" s="17">
        <v>600000</v>
      </c>
    </row>
    <row r="13" spans="3:5" x14ac:dyDescent="0.25">
      <c r="C13" s="2" t="s">
        <v>27</v>
      </c>
      <c r="D13" s="11" t="s">
        <v>78</v>
      </c>
    </row>
    <row r="15" spans="3:5" x14ac:dyDescent="0.25">
      <c r="C15" s="6" t="s">
        <v>80</v>
      </c>
    </row>
    <row r="16" spans="3:5" x14ac:dyDescent="0.25">
      <c r="C16" s="2" t="s">
        <v>25</v>
      </c>
      <c r="D16" s="11" t="s">
        <v>32</v>
      </c>
    </row>
    <row r="17" spans="3:4" x14ac:dyDescent="0.25">
      <c r="C17" s="2" t="s">
        <v>26</v>
      </c>
      <c r="D17" s="17">
        <v>300</v>
      </c>
    </row>
    <row r="18" spans="3:4" x14ac:dyDescent="0.25">
      <c r="C18" s="2" t="s">
        <v>27</v>
      </c>
      <c r="D18" s="11" t="s">
        <v>78</v>
      </c>
    </row>
    <row r="20" spans="3:4" x14ac:dyDescent="0.25">
      <c r="C20" s="6" t="s">
        <v>81</v>
      </c>
    </row>
    <row r="21" spans="3:4" x14ac:dyDescent="0.25">
      <c r="C21" s="2" t="s">
        <v>25</v>
      </c>
      <c r="D21" s="11" t="s">
        <v>32</v>
      </c>
    </row>
    <row r="22" spans="3:4" x14ac:dyDescent="0.25">
      <c r="C22" s="2" t="s">
        <v>26</v>
      </c>
      <c r="D22" s="17">
        <v>125000</v>
      </c>
    </row>
    <row r="23" spans="3:4" x14ac:dyDescent="0.25">
      <c r="C23" s="2" t="s">
        <v>27</v>
      </c>
      <c r="D23" s="11" t="s">
        <v>78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promptTitle="Informe um banco" prompt="Informe um banco vinculado ao seu CPF" xr:uid="{E91520E7-B4D9-4662-88F9-7C52DBF18817}">
          <x14:formula1>
            <xm:f>TABELAS!$A$1:$A$51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36AB-DD36-4525-86BD-B6CF5CE96A66}">
  <sheetPr codeName="Planilha3"/>
  <dimension ref="A3:E32"/>
  <sheetViews>
    <sheetView showGridLines="0" showRowColHeaders="0" workbookViewId="0">
      <selection activeCell="D12" sqref="D12"/>
    </sheetView>
  </sheetViews>
  <sheetFormatPr defaultRowHeight="15" x14ac:dyDescent="0.25"/>
  <cols>
    <col min="1" max="1" width="36.85546875" style="1" customWidth="1"/>
    <col min="3" max="3" width="21.28515625" customWidth="1"/>
    <col min="4" max="4" width="27.7109375" customWidth="1"/>
    <col min="5" max="5" width="17.5703125" customWidth="1"/>
  </cols>
  <sheetData>
    <row r="3" spans="3:5" ht="20.25" thickBot="1" x14ac:dyDescent="0.35">
      <c r="C3" s="3" t="s">
        <v>84</v>
      </c>
      <c r="D3" s="3"/>
      <c r="E3" s="3"/>
    </row>
    <row r="4" spans="3:5" ht="15.75" thickTop="1" x14ac:dyDescent="0.25">
      <c r="C4" s="10" t="s">
        <v>83</v>
      </c>
      <c r="D4" s="10"/>
      <c r="E4" s="4"/>
    </row>
    <row r="7" spans="3:5" x14ac:dyDescent="0.25">
      <c r="C7" s="9" t="s">
        <v>88</v>
      </c>
      <c r="D7" s="9"/>
      <c r="E7" s="9"/>
    </row>
    <row r="8" spans="3:5" x14ac:dyDescent="0.25">
      <c r="C8" s="7" t="s">
        <v>85</v>
      </c>
      <c r="D8" s="7" t="s">
        <v>86</v>
      </c>
      <c r="E8" s="7" t="s">
        <v>87</v>
      </c>
    </row>
    <row r="9" spans="3:5" x14ac:dyDescent="0.25">
      <c r="C9" s="18">
        <v>46067</v>
      </c>
      <c r="D9" s="19" t="s">
        <v>89</v>
      </c>
      <c r="E9" s="20">
        <v>2500</v>
      </c>
    </row>
    <row r="10" spans="3:5" x14ac:dyDescent="0.25">
      <c r="C10" s="18"/>
      <c r="D10" s="19"/>
      <c r="E10" s="20"/>
    </row>
    <row r="11" spans="3:5" x14ac:dyDescent="0.25">
      <c r="C11" s="18"/>
      <c r="D11" s="19"/>
      <c r="E11" s="20"/>
    </row>
    <row r="12" spans="3:5" x14ac:dyDescent="0.25">
      <c r="C12" s="18"/>
      <c r="D12" s="19"/>
      <c r="E12" s="20"/>
    </row>
    <row r="13" spans="3:5" x14ac:dyDescent="0.25">
      <c r="C13" s="18"/>
      <c r="D13" s="19"/>
      <c r="E13" s="20"/>
    </row>
    <row r="14" spans="3:5" x14ac:dyDescent="0.25">
      <c r="C14" s="18"/>
      <c r="D14" s="19"/>
      <c r="E14" s="20"/>
    </row>
    <row r="15" spans="3:5" x14ac:dyDescent="0.25">
      <c r="C15" s="18"/>
      <c r="D15" s="19"/>
      <c r="E15" s="20"/>
    </row>
    <row r="16" spans="3:5" x14ac:dyDescent="0.25">
      <c r="C16" s="18"/>
      <c r="D16" s="19"/>
      <c r="E16" s="20"/>
    </row>
    <row r="17" spans="3:5" x14ac:dyDescent="0.25">
      <c r="C17" s="18"/>
      <c r="D17" s="19"/>
      <c r="E17" s="20"/>
    </row>
    <row r="18" spans="3:5" x14ac:dyDescent="0.25">
      <c r="C18" s="18"/>
      <c r="D18" s="19"/>
      <c r="E18" s="20"/>
    </row>
    <row r="19" spans="3:5" x14ac:dyDescent="0.25">
      <c r="C19" s="18"/>
      <c r="D19" s="19"/>
      <c r="E19" s="20"/>
    </row>
    <row r="20" spans="3:5" x14ac:dyDescent="0.25">
      <c r="C20" s="18"/>
      <c r="D20" s="19"/>
      <c r="E20" s="20"/>
    </row>
    <row r="21" spans="3:5" x14ac:dyDescent="0.25">
      <c r="C21" s="18"/>
      <c r="D21" s="19"/>
      <c r="E21" s="20"/>
    </row>
    <row r="22" spans="3:5" x14ac:dyDescent="0.25">
      <c r="C22" s="18"/>
      <c r="D22" s="19"/>
      <c r="E22" s="20"/>
    </row>
    <row r="23" spans="3:5" x14ac:dyDescent="0.25">
      <c r="C23" s="18"/>
      <c r="D23" s="19"/>
      <c r="E23" s="20"/>
    </row>
    <row r="24" spans="3:5" x14ac:dyDescent="0.25">
      <c r="C24" s="18"/>
      <c r="D24" s="19"/>
      <c r="E24" s="20"/>
    </row>
    <row r="25" spans="3:5" x14ac:dyDescent="0.25">
      <c r="C25" s="18"/>
      <c r="D25" s="19"/>
      <c r="E25" s="20"/>
    </row>
    <row r="26" spans="3:5" x14ac:dyDescent="0.25">
      <c r="C26" s="18"/>
      <c r="D26" s="19"/>
      <c r="E26" s="20"/>
    </row>
    <row r="27" spans="3:5" x14ac:dyDescent="0.25">
      <c r="C27" s="18"/>
      <c r="D27" s="19"/>
      <c r="E27" s="20"/>
    </row>
    <row r="28" spans="3:5" x14ac:dyDescent="0.25">
      <c r="C28" s="18"/>
      <c r="D28" s="19"/>
      <c r="E28" s="20"/>
    </row>
    <row r="29" spans="3:5" x14ac:dyDescent="0.25">
      <c r="C29" s="18"/>
      <c r="D29" s="19"/>
      <c r="E29" s="20"/>
    </row>
    <row r="30" spans="3:5" x14ac:dyDescent="0.25">
      <c r="C30" s="18"/>
      <c r="D30" s="19"/>
      <c r="E30" s="20"/>
    </row>
    <row r="31" spans="3:5" x14ac:dyDescent="0.25">
      <c r="C31" s="18"/>
      <c r="D31" s="19"/>
      <c r="E31" s="20"/>
    </row>
    <row r="32" spans="3:5" x14ac:dyDescent="0.25">
      <c r="C32" s="18"/>
      <c r="D32" s="19"/>
      <c r="E32" s="20"/>
    </row>
  </sheetData>
  <sheetProtection sheet="1" objects="1" scenarios="1" selectLockedCells="1"/>
  <mergeCells count="2">
    <mergeCell ref="C7:E7"/>
    <mergeCell ref="C4:D4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69A7-F4FB-4F44-8970-5DDB1A7E5E56}">
  <dimension ref="A2:A51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</cols>
  <sheetData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Vasconcelos</dc:creator>
  <cp:lastModifiedBy>Arthur Vasconcelos</cp:lastModifiedBy>
  <dcterms:created xsi:type="dcterms:W3CDTF">2026-02-14T19:15:40Z</dcterms:created>
  <dcterms:modified xsi:type="dcterms:W3CDTF">2026-02-14T22:57:33Z</dcterms:modified>
</cp:coreProperties>
</file>